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13_ncr:1_{2A789466-6FA2-46E7-9311-4735E63F06C7}" xr6:coauthVersionLast="47" xr6:coauthVersionMax="47" xr10:uidLastSave="{00000000-0000-0000-0000-000000000000}"/>
  <bookViews>
    <workbookView xWindow="-108" yWindow="-108" windowWidth="23256" windowHeight="13176" activeTab="1" xr2:uid="{9289E626-F307-46D9-A1C5-8467D66C6DE2}"/>
  </bookViews>
  <sheets>
    <sheet name="WELD C CALCULATION" sheetId="1" r:id="rId1"/>
    <sheet name="Input " sheetId="2" r:id="rId2"/>
  </sheets>
  <definedNames>
    <definedName name="_xlnm._FilterDatabase" localSheetId="1" hidden="1">'Input '!$A$1:$M$69</definedName>
    <definedName name="_xlnm._FilterDatabase" localSheetId="0" hidden="1">'WELD C CALCULATION'!$A$11:$AA$123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2" i="2"/>
  <c r="L3" i="2"/>
  <c r="L29" i="2"/>
  <c r="L30" i="2"/>
  <c r="L43" i="2"/>
  <c r="L44" i="2"/>
  <c r="L45" i="2"/>
  <c r="L46" i="2"/>
  <c r="L47" i="2"/>
  <c r="L50" i="2"/>
  <c r="K3" i="2"/>
  <c r="K4" i="2"/>
  <c r="L4" i="2" s="1"/>
  <c r="K5" i="2"/>
  <c r="L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17" i="2" s="1"/>
  <c r="K18" i="2"/>
  <c r="L18" i="2" s="1"/>
  <c r="K19" i="2"/>
  <c r="L19" i="2" s="1"/>
  <c r="K20" i="2"/>
  <c r="L20" i="2" s="1"/>
  <c r="K21" i="2"/>
  <c r="L21" i="2" s="1"/>
  <c r="K22" i="2"/>
  <c r="L22" i="2" s="1"/>
  <c r="K23" i="2"/>
  <c r="L23" i="2" s="1"/>
  <c r="K24" i="2"/>
  <c r="L24" i="2" s="1"/>
  <c r="K25" i="2"/>
  <c r="L25" i="2" s="1"/>
  <c r="K26" i="2"/>
  <c r="L26" i="2" s="1"/>
  <c r="K27" i="2"/>
  <c r="L27" i="2" s="1"/>
  <c r="K28" i="2"/>
  <c r="L28" i="2" s="1"/>
  <c r="K29" i="2"/>
  <c r="K30" i="2"/>
  <c r="K31" i="2"/>
  <c r="L31" i="2" s="1"/>
  <c r="K32" i="2"/>
  <c r="L32" i="2" s="1"/>
  <c r="K33" i="2"/>
  <c r="L33" i="2" s="1"/>
  <c r="K34" i="2"/>
  <c r="L34" i="2" s="1"/>
  <c r="K35" i="2"/>
  <c r="L35" i="2" s="1"/>
  <c r="K36" i="2"/>
  <c r="L36" i="2" s="1"/>
  <c r="K37" i="2"/>
  <c r="L37" i="2" s="1"/>
  <c r="K38" i="2"/>
  <c r="L38" i="2" s="1"/>
  <c r="K39" i="2"/>
  <c r="L39" i="2" s="1"/>
  <c r="K40" i="2"/>
  <c r="L40" i="2" s="1"/>
  <c r="K41" i="2"/>
  <c r="L41" i="2" s="1"/>
  <c r="K42" i="2"/>
  <c r="L42" i="2" s="1"/>
  <c r="K43" i="2"/>
  <c r="K44" i="2"/>
  <c r="K45" i="2"/>
  <c r="K46" i="2"/>
  <c r="K47" i="2"/>
  <c r="K48" i="2"/>
  <c r="L48" i="2" s="1"/>
  <c r="K49" i="2"/>
  <c r="L49" i="2" s="1"/>
  <c r="K50" i="2"/>
  <c r="K51" i="2"/>
  <c r="L51" i="2" s="1"/>
  <c r="K52" i="2"/>
  <c r="L52" i="2" s="1"/>
  <c r="K53" i="2"/>
  <c r="L53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L60" i="2" s="1"/>
  <c r="K61" i="2"/>
  <c r="L61" i="2" s="1"/>
  <c r="K62" i="2"/>
  <c r="L62" i="2" s="1"/>
  <c r="K63" i="2"/>
  <c r="L63" i="2" s="1"/>
  <c r="K64" i="2"/>
  <c r="L64" i="2" s="1"/>
  <c r="K65" i="2"/>
  <c r="L65" i="2" s="1"/>
  <c r="K66" i="2"/>
  <c r="L66" i="2" s="1"/>
  <c r="K67" i="2"/>
  <c r="L67" i="2" s="1"/>
  <c r="K68" i="2"/>
  <c r="L68" i="2" s="1"/>
  <c r="K69" i="2"/>
  <c r="L69" i="2" s="1"/>
  <c r="K2" i="2"/>
  <c r="L2" i="2" s="1"/>
  <c r="R12" i="1"/>
  <c r="S12" i="1"/>
  <c r="Q123" i="1"/>
  <c r="R123" i="1" s="1"/>
  <c r="Q122" i="1"/>
  <c r="R122" i="1" s="1"/>
  <c r="Q121" i="1"/>
  <c r="R121" i="1" s="1"/>
  <c r="Q120" i="1"/>
  <c r="R120" i="1" s="1"/>
  <c r="Q119" i="1"/>
  <c r="R119" i="1" s="1"/>
  <c r="Q118" i="1"/>
  <c r="R118" i="1" s="1"/>
  <c r="Q117" i="1"/>
  <c r="R117" i="1" s="1"/>
  <c r="Q116" i="1"/>
  <c r="R116" i="1" s="1"/>
  <c r="Q115" i="1"/>
  <c r="R115" i="1" s="1"/>
  <c r="Q114" i="1"/>
  <c r="R114" i="1" s="1"/>
  <c r="Q113" i="1"/>
  <c r="R113" i="1" s="1"/>
  <c r="Q112" i="1"/>
  <c r="R112" i="1" s="1"/>
  <c r="Q111" i="1"/>
  <c r="R111" i="1" s="1"/>
  <c r="Q110" i="1"/>
  <c r="R110" i="1" s="1"/>
  <c r="Q109" i="1"/>
  <c r="R109" i="1" s="1"/>
  <c r="T109" i="1" s="1"/>
  <c r="Q108" i="1"/>
  <c r="R108" i="1" s="1"/>
  <c r="Q107" i="1"/>
  <c r="R107" i="1" s="1"/>
  <c r="Q106" i="1"/>
  <c r="R106" i="1" s="1"/>
  <c r="Q105" i="1"/>
  <c r="R105" i="1" s="1"/>
  <c r="Q104" i="1"/>
  <c r="R104" i="1" s="1"/>
  <c r="Q103" i="1"/>
  <c r="R103" i="1" s="1"/>
  <c r="Q102" i="1"/>
  <c r="R102" i="1" s="1"/>
  <c r="Q101" i="1"/>
  <c r="R101" i="1" s="1"/>
  <c r="Q100" i="1"/>
  <c r="R100" i="1" s="1"/>
  <c r="Q99" i="1"/>
  <c r="R99" i="1" s="1"/>
  <c r="Q98" i="1"/>
  <c r="R98" i="1" s="1"/>
  <c r="Q97" i="1"/>
  <c r="R97" i="1" s="1"/>
  <c r="Q96" i="1"/>
  <c r="R96" i="1" s="1"/>
  <c r="Q95" i="1"/>
  <c r="R95" i="1" s="1"/>
  <c r="T95" i="1" s="1"/>
  <c r="Q94" i="1"/>
  <c r="R94" i="1" s="1"/>
  <c r="Q93" i="1"/>
  <c r="R93" i="1" s="1"/>
  <c r="T93" i="1" s="1"/>
  <c r="Q92" i="1"/>
  <c r="R92" i="1" s="1"/>
  <c r="Q91" i="1"/>
  <c r="R91" i="1" s="1"/>
  <c r="Q90" i="1"/>
  <c r="R90" i="1" s="1"/>
  <c r="Q89" i="1"/>
  <c r="R89" i="1" s="1"/>
  <c r="Q88" i="1"/>
  <c r="R88" i="1" s="1"/>
  <c r="T88" i="1" s="1"/>
  <c r="Q87" i="1"/>
  <c r="R87" i="1" s="1"/>
  <c r="Q86" i="1"/>
  <c r="R86" i="1" s="1"/>
  <c r="Q85" i="1"/>
  <c r="R85" i="1" s="1"/>
  <c r="Q84" i="1"/>
  <c r="R84" i="1" s="1"/>
  <c r="Q83" i="1"/>
  <c r="R83" i="1" s="1"/>
  <c r="Q82" i="1"/>
  <c r="R82" i="1" s="1"/>
  <c r="Q81" i="1"/>
  <c r="R81" i="1" s="1"/>
  <c r="Q80" i="1"/>
  <c r="R80" i="1" s="1"/>
  <c r="Q79" i="1"/>
  <c r="R79" i="1" s="1"/>
  <c r="Q78" i="1"/>
  <c r="R78" i="1" s="1"/>
  <c r="Q77" i="1"/>
  <c r="R77" i="1" s="1"/>
  <c r="Q76" i="1"/>
  <c r="R76" i="1" s="1"/>
  <c r="Q75" i="1"/>
  <c r="R75" i="1" s="1"/>
  <c r="Q74" i="1"/>
  <c r="R74" i="1" s="1"/>
  <c r="Q73" i="1"/>
  <c r="R73" i="1" s="1"/>
  <c r="T73" i="1" s="1"/>
  <c r="Q72" i="1"/>
  <c r="R72" i="1" s="1"/>
  <c r="Q71" i="1"/>
  <c r="R71" i="1" s="1"/>
  <c r="Q70" i="1"/>
  <c r="R70" i="1" s="1"/>
  <c r="Q69" i="1"/>
  <c r="R69" i="1" s="1"/>
  <c r="Q68" i="1"/>
  <c r="R68" i="1" s="1"/>
  <c r="Q67" i="1"/>
  <c r="R67" i="1" s="1"/>
  <c r="Q66" i="1"/>
  <c r="R66" i="1" s="1"/>
  <c r="Q65" i="1"/>
  <c r="R65" i="1" s="1"/>
  <c r="Q64" i="1"/>
  <c r="R64" i="1" s="1"/>
  <c r="Q63" i="1"/>
  <c r="R63" i="1" s="1"/>
  <c r="Q62" i="1"/>
  <c r="R62" i="1" s="1"/>
  <c r="Q61" i="1"/>
  <c r="R61" i="1" s="1"/>
  <c r="Q60" i="1"/>
  <c r="R60" i="1" s="1"/>
  <c r="Q59" i="1"/>
  <c r="R59" i="1" s="1"/>
  <c r="Q58" i="1"/>
  <c r="R58" i="1" s="1"/>
  <c r="Q57" i="1"/>
  <c r="R57" i="1" s="1"/>
  <c r="Q56" i="1"/>
  <c r="R56" i="1" s="1"/>
  <c r="Q55" i="1"/>
  <c r="R55" i="1" s="1"/>
  <c r="Q54" i="1"/>
  <c r="R54" i="1" s="1"/>
  <c r="Q53" i="1"/>
  <c r="R53" i="1" s="1"/>
  <c r="Q52" i="1"/>
  <c r="R52" i="1" s="1"/>
  <c r="Q51" i="1"/>
  <c r="R51" i="1" s="1"/>
  <c r="Q50" i="1"/>
  <c r="R50" i="1" s="1"/>
  <c r="Q49" i="1"/>
  <c r="R49" i="1" s="1"/>
  <c r="Q48" i="1"/>
  <c r="R48" i="1" s="1"/>
  <c r="Q47" i="1"/>
  <c r="R47" i="1" s="1"/>
  <c r="Q46" i="1"/>
  <c r="R46" i="1" s="1"/>
  <c r="Q45" i="1"/>
  <c r="R45" i="1" s="1"/>
  <c r="Q44" i="1"/>
  <c r="R44" i="1" s="1"/>
  <c r="Q43" i="1"/>
  <c r="R43" i="1" s="1"/>
  <c r="T43" i="1" s="1"/>
  <c r="Q42" i="1"/>
  <c r="R42" i="1" s="1"/>
  <c r="Q41" i="1"/>
  <c r="R41" i="1" s="1"/>
  <c r="Q40" i="1"/>
  <c r="R40" i="1" s="1"/>
  <c r="Q39" i="1"/>
  <c r="R39" i="1" s="1"/>
  <c r="Q38" i="1"/>
  <c r="R38" i="1" s="1"/>
  <c r="Q37" i="1"/>
  <c r="R37" i="1" s="1"/>
  <c r="Q36" i="1"/>
  <c r="R36" i="1" s="1"/>
  <c r="Q35" i="1"/>
  <c r="R35" i="1" s="1"/>
  <c r="Q34" i="1"/>
  <c r="R34" i="1" s="1"/>
  <c r="T34" i="1" s="1"/>
  <c r="Q33" i="1"/>
  <c r="R33" i="1" s="1"/>
  <c r="Q32" i="1"/>
  <c r="R32" i="1" s="1"/>
  <c r="Q31" i="1"/>
  <c r="R31" i="1" s="1"/>
  <c r="Q30" i="1"/>
  <c r="R30" i="1" s="1"/>
  <c r="Q29" i="1"/>
  <c r="R29" i="1" s="1"/>
  <c r="Q28" i="1"/>
  <c r="R28" i="1" s="1"/>
  <c r="Q27" i="1"/>
  <c r="R27" i="1" s="1"/>
  <c r="Q26" i="1"/>
  <c r="R26" i="1" s="1"/>
  <c r="Q25" i="1"/>
  <c r="R25" i="1" s="1"/>
  <c r="Q24" i="1"/>
  <c r="R24" i="1" s="1"/>
  <c r="Q23" i="1"/>
  <c r="R23" i="1" s="1"/>
  <c r="Q22" i="1"/>
  <c r="R22" i="1" s="1"/>
  <c r="Q21" i="1"/>
  <c r="R21" i="1" s="1"/>
  <c r="Q20" i="1"/>
  <c r="R20" i="1" s="1"/>
  <c r="Q19" i="1"/>
  <c r="R19" i="1" s="1"/>
  <c r="Q18" i="1"/>
  <c r="R18" i="1" s="1"/>
  <c r="U18" i="1" s="1"/>
  <c r="Q17" i="1"/>
  <c r="R17" i="1" s="1"/>
  <c r="Q16" i="1"/>
  <c r="R16" i="1" s="1"/>
  <c r="Q15" i="1"/>
  <c r="R15" i="1" s="1"/>
  <c r="Q14" i="1"/>
  <c r="R14" i="1" s="1"/>
  <c r="Q13" i="1"/>
  <c r="R13" i="1" s="1"/>
  <c r="Q12" i="1"/>
  <c r="O8" i="1"/>
  <c r="O7" i="1"/>
  <c r="O6" i="1"/>
  <c r="W53" i="1" s="1"/>
  <c r="O5" i="1"/>
  <c r="V17" i="1" s="1"/>
  <c r="O4" i="1"/>
  <c r="O3" i="1"/>
  <c r="U17" i="1" l="1"/>
  <c r="T27" i="1"/>
  <c r="T42" i="1"/>
  <c r="T92" i="1"/>
  <c r="T17" i="1"/>
  <c r="T67" i="1"/>
  <c r="T38" i="1"/>
  <c r="T120" i="1"/>
  <c r="X109" i="1"/>
  <c r="Y67" i="1"/>
  <c r="U48" i="1"/>
  <c r="U109" i="1"/>
  <c r="V99" i="1"/>
  <c r="U73" i="1"/>
  <c r="U43" i="1"/>
  <c r="X82" i="1"/>
  <c r="X14" i="1"/>
  <c r="W14" i="1"/>
  <c r="W56" i="1"/>
  <c r="X56" i="1"/>
  <c r="X71" i="1"/>
  <c r="X17" i="1"/>
  <c r="X31" i="1"/>
  <c r="W73" i="1"/>
  <c r="X87" i="1"/>
  <c r="X34" i="1"/>
  <c r="V48" i="1"/>
  <c r="W106" i="1"/>
  <c r="X106" i="1"/>
  <c r="W109" i="1"/>
  <c r="X20" i="1"/>
  <c r="W48" i="1"/>
  <c r="X62" i="1"/>
  <c r="V24" i="1"/>
  <c r="W17" i="1"/>
  <c r="Y114" i="1"/>
  <c r="Y81" i="1"/>
  <c r="X70" i="1"/>
  <c r="V106" i="1"/>
  <c r="V117" i="1"/>
  <c r="W117" i="1"/>
  <c r="X117" i="1"/>
  <c r="Y61" i="1"/>
  <c r="Y45" i="1"/>
  <c r="U34" i="1"/>
  <c r="Y47" i="1"/>
  <c r="U95" i="1"/>
  <c r="V34" i="1"/>
  <c r="V95" i="1"/>
  <c r="Y106" i="1"/>
  <c r="W34" i="1"/>
  <c r="X59" i="1"/>
  <c r="W84" i="1"/>
  <c r="W95" i="1"/>
  <c r="Y117" i="1"/>
  <c r="X95" i="1"/>
  <c r="V73" i="1"/>
  <c r="X96" i="1"/>
  <c r="W62" i="1"/>
  <c r="U120" i="1"/>
  <c r="Y14" i="1"/>
  <c r="U98" i="1"/>
  <c r="V109" i="1"/>
  <c r="V120" i="1"/>
  <c r="X120" i="1"/>
  <c r="V121" i="1"/>
  <c r="W78" i="1"/>
  <c r="Y34" i="1"/>
  <c r="Y50" i="1"/>
  <c r="Y39" i="1"/>
  <c r="U78" i="1"/>
  <c r="V53" i="1"/>
  <c r="V78" i="1"/>
  <c r="V110" i="1"/>
  <c r="W103" i="1"/>
  <c r="Y32" i="1"/>
  <c r="W32" i="1"/>
  <c r="V32" i="1"/>
  <c r="T32" i="1"/>
  <c r="X32" i="1"/>
  <c r="U32" i="1"/>
  <c r="Y57" i="1"/>
  <c r="W57" i="1"/>
  <c r="V57" i="1"/>
  <c r="X57" i="1"/>
  <c r="U57" i="1"/>
  <c r="T57" i="1"/>
  <c r="Y104" i="1"/>
  <c r="X104" i="1"/>
  <c r="W104" i="1"/>
  <c r="V104" i="1"/>
  <c r="U104" i="1"/>
  <c r="T104" i="1"/>
  <c r="Y115" i="1"/>
  <c r="X115" i="1"/>
  <c r="W115" i="1"/>
  <c r="V115" i="1"/>
  <c r="U115" i="1"/>
  <c r="T115" i="1"/>
  <c r="Y107" i="1"/>
  <c r="W107" i="1"/>
  <c r="V107" i="1"/>
  <c r="U107" i="1"/>
  <c r="X107" i="1"/>
  <c r="T107" i="1"/>
  <c r="X49" i="1"/>
  <c r="W49" i="1"/>
  <c r="Y49" i="1"/>
  <c r="U49" i="1"/>
  <c r="T49" i="1"/>
  <c r="V49" i="1"/>
  <c r="Y37" i="1"/>
  <c r="X37" i="1"/>
  <c r="V37" i="1"/>
  <c r="U37" i="1"/>
  <c r="W37" i="1"/>
  <c r="T37" i="1"/>
  <c r="Y65" i="1"/>
  <c r="X65" i="1"/>
  <c r="V65" i="1"/>
  <c r="W65" i="1"/>
  <c r="U65" i="1"/>
  <c r="T65" i="1"/>
  <c r="T12" i="1"/>
  <c r="U12" i="1"/>
  <c r="Y12" i="1"/>
  <c r="X12" i="1"/>
  <c r="W12" i="1"/>
  <c r="V12" i="1"/>
  <c r="U76" i="1"/>
  <c r="T76" i="1"/>
  <c r="W76" i="1"/>
  <c r="Y76" i="1"/>
  <c r="X76" i="1"/>
  <c r="V76" i="1"/>
  <c r="Y15" i="1"/>
  <c r="X15" i="1"/>
  <c r="U15" i="1"/>
  <c r="T15" i="1"/>
  <c r="V15" i="1"/>
  <c r="W15" i="1"/>
  <c r="Y40" i="1"/>
  <c r="X40" i="1"/>
  <c r="T40" i="1"/>
  <c r="W40" i="1"/>
  <c r="V40" i="1"/>
  <c r="U40" i="1"/>
  <c r="Y90" i="1"/>
  <c r="X90" i="1"/>
  <c r="W90" i="1"/>
  <c r="V90" i="1"/>
  <c r="U90" i="1"/>
  <c r="T90" i="1"/>
  <c r="U101" i="1"/>
  <c r="T101" i="1"/>
  <c r="Y101" i="1"/>
  <c r="V101" i="1"/>
  <c r="X101" i="1"/>
  <c r="W101" i="1"/>
  <c r="U46" i="1"/>
  <c r="T46" i="1"/>
  <c r="Y46" i="1"/>
  <c r="W46" i="1"/>
  <c r="V46" i="1"/>
  <c r="X46" i="1"/>
  <c r="U21" i="1"/>
  <c r="T21" i="1"/>
  <c r="Y21" i="1"/>
  <c r="W21" i="1"/>
  <c r="V21" i="1"/>
  <c r="X21" i="1"/>
  <c r="W60" i="1"/>
  <c r="X60" i="1"/>
  <c r="Y60" i="1"/>
  <c r="U60" i="1"/>
  <c r="T60" i="1"/>
  <c r="V60" i="1"/>
  <c r="Y118" i="1"/>
  <c r="X118" i="1"/>
  <c r="W118" i="1"/>
  <c r="V118" i="1"/>
  <c r="U118" i="1"/>
  <c r="T118" i="1"/>
  <c r="Y23" i="1"/>
  <c r="X23" i="1"/>
  <c r="W23" i="1"/>
  <c r="V23" i="1"/>
  <c r="U23" i="1"/>
  <c r="T23" i="1"/>
  <c r="X35" i="1"/>
  <c r="Y35" i="1"/>
  <c r="W35" i="1"/>
  <c r="U35" i="1"/>
  <c r="T35" i="1"/>
  <c r="V35" i="1"/>
  <c r="W74" i="1"/>
  <c r="Y74" i="1"/>
  <c r="X74" i="1"/>
  <c r="U74" i="1"/>
  <c r="T74" i="1"/>
  <c r="V74" i="1"/>
  <c r="U26" i="1"/>
  <c r="T26" i="1"/>
  <c r="Y26" i="1"/>
  <c r="X26" i="1"/>
  <c r="W26" i="1"/>
  <c r="V26" i="1"/>
  <c r="U51" i="1"/>
  <c r="T51" i="1"/>
  <c r="Y51" i="1"/>
  <c r="X51" i="1"/>
  <c r="W51" i="1"/>
  <c r="V51" i="1"/>
  <c r="Y29" i="1"/>
  <c r="X29" i="1"/>
  <c r="V29" i="1"/>
  <c r="T29" i="1"/>
  <c r="W29" i="1"/>
  <c r="U29" i="1"/>
  <c r="Y54" i="1"/>
  <c r="X54" i="1"/>
  <c r="V54" i="1"/>
  <c r="W54" i="1"/>
  <c r="U54" i="1"/>
  <c r="T54" i="1"/>
  <c r="Y79" i="1"/>
  <c r="X79" i="1"/>
  <c r="U79" i="1"/>
  <c r="W79" i="1"/>
  <c r="V79" i="1"/>
  <c r="T79" i="1"/>
  <c r="Y112" i="1"/>
  <c r="T112" i="1"/>
  <c r="U112" i="1"/>
  <c r="X112" i="1"/>
  <c r="W112" i="1"/>
  <c r="V112" i="1"/>
  <c r="T84" i="1"/>
  <c r="V84" i="1"/>
  <c r="U45" i="1"/>
  <c r="U91" i="1"/>
  <c r="T91" i="1"/>
  <c r="Y91" i="1"/>
  <c r="X91" i="1"/>
  <c r="W91" i="1"/>
  <c r="V91" i="1"/>
  <c r="X19" i="1"/>
  <c r="V19" i="1"/>
  <c r="T19" i="1"/>
  <c r="Y19" i="1"/>
  <c r="W19" i="1"/>
  <c r="U19" i="1"/>
  <c r="Y62" i="1"/>
  <c r="Y83" i="1"/>
  <c r="X83" i="1"/>
  <c r="W83" i="1"/>
  <c r="V83" i="1"/>
  <c r="T83" i="1"/>
  <c r="U83" i="1"/>
  <c r="Y88" i="1"/>
  <c r="X88" i="1"/>
  <c r="V88" i="1"/>
  <c r="U88" i="1"/>
  <c r="W88" i="1"/>
  <c r="T117" i="1"/>
  <c r="U117" i="1"/>
  <c r="Y63" i="1"/>
  <c r="X63" i="1"/>
  <c r="V63" i="1"/>
  <c r="U63" i="1"/>
  <c r="W63" i="1"/>
  <c r="Y68" i="1"/>
  <c r="X68" i="1"/>
  <c r="W68" i="1"/>
  <c r="V68" i="1"/>
  <c r="V25" i="1"/>
  <c r="T25" i="1"/>
  <c r="U25" i="1"/>
  <c r="U20" i="1"/>
  <c r="V59" i="1"/>
  <c r="U84" i="1"/>
  <c r="X25" i="1"/>
  <c r="T45" i="1"/>
  <c r="W59" i="1"/>
  <c r="V45" i="1"/>
  <c r="X55" i="1"/>
  <c r="V55" i="1"/>
  <c r="U55" i="1"/>
  <c r="T55" i="1"/>
  <c r="Y55" i="1"/>
  <c r="W55" i="1"/>
  <c r="Y59" i="1"/>
  <c r="T70" i="1"/>
  <c r="V75" i="1"/>
  <c r="T75" i="1"/>
  <c r="U75" i="1"/>
  <c r="X84" i="1"/>
  <c r="Y20" i="1"/>
  <c r="V31" i="1"/>
  <c r="W45" i="1"/>
  <c r="U70" i="1"/>
  <c r="W75" i="1"/>
  <c r="Y84" i="1"/>
  <c r="U16" i="1"/>
  <c r="T16" i="1"/>
  <c r="X16" i="1"/>
  <c r="W16" i="1"/>
  <c r="V16" i="1"/>
  <c r="Y16" i="1"/>
  <c r="W31" i="1"/>
  <c r="U36" i="1"/>
  <c r="T36" i="1"/>
  <c r="X36" i="1"/>
  <c r="V36" i="1"/>
  <c r="W36" i="1"/>
  <c r="X45" i="1"/>
  <c r="U56" i="1"/>
  <c r="T56" i="1"/>
  <c r="V70" i="1"/>
  <c r="X75" i="1"/>
  <c r="X80" i="1"/>
  <c r="V80" i="1"/>
  <c r="Y80" i="1"/>
  <c r="T80" i="1"/>
  <c r="W80" i="1"/>
  <c r="U80" i="1"/>
  <c r="X85" i="1"/>
  <c r="W85" i="1"/>
  <c r="Y85" i="1"/>
  <c r="U85" i="1"/>
  <c r="T85" i="1"/>
  <c r="Y95" i="1"/>
  <c r="X102" i="1"/>
  <c r="V102" i="1"/>
  <c r="Y102" i="1"/>
  <c r="U102" i="1"/>
  <c r="W102" i="1"/>
  <c r="Y113" i="1"/>
  <c r="X113" i="1"/>
  <c r="W113" i="1"/>
  <c r="U113" i="1"/>
  <c r="V113" i="1"/>
  <c r="Y119" i="1"/>
  <c r="T119" i="1"/>
  <c r="X119" i="1"/>
  <c r="W119" i="1"/>
  <c r="V119" i="1"/>
  <c r="U119" i="1"/>
  <c r="Y36" i="1"/>
  <c r="V56" i="1"/>
  <c r="W70" i="1"/>
  <c r="Y75" i="1"/>
  <c r="V85" i="1"/>
  <c r="U96" i="1"/>
  <c r="T96" i="1"/>
  <c r="Y96" i="1"/>
  <c r="W96" i="1"/>
  <c r="V96" i="1"/>
  <c r="T102" i="1"/>
  <c r="Y108" i="1"/>
  <c r="X108" i="1"/>
  <c r="W108" i="1"/>
  <c r="V108" i="1"/>
  <c r="U108" i="1"/>
  <c r="T108" i="1"/>
  <c r="T113" i="1"/>
  <c r="V89" i="1"/>
  <c r="U89" i="1"/>
  <c r="T89" i="1"/>
  <c r="X39" i="1"/>
  <c r="X89" i="1"/>
  <c r="V20" i="1"/>
  <c r="Y89" i="1"/>
  <c r="X22" i="1"/>
  <c r="W22" i="1"/>
  <c r="V22" i="1"/>
  <c r="U22" i="1"/>
  <c r="T22" i="1"/>
  <c r="Y70" i="1"/>
  <c r="V81" i="1"/>
  <c r="X97" i="1"/>
  <c r="V97" i="1"/>
  <c r="W97" i="1"/>
  <c r="T97" i="1"/>
  <c r="U97" i="1"/>
  <c r="Y97" i="1"/>
  <c r="V103" i="1"/>
  <c r="X114" i="1"/>
  <c r="Y22" i="1"/>
  <c r="X27" i="1"/>
  <c r="W27" i="1"/>
  <c r="Y27" i="1"/>
  <c r="V27" i="1"/>
  <c r="U27" i="1"/>
  <c r="U42" i="1"/>
  <c r="Y56" i="1"/>
  <c r="U66" i="1"/>
  <c r="T66" i="1"/>
  <c r="V66" i="1"/>
  <c r="Y66" i="1"/>
  <c r="X66" i="1"/>
  <c r="W66" i="1"/>
  <c r="W81" i="1"/>
  <c r="U92" i="1"/>
  <c r="W120" i="1"/>
  <c r="V100" i="1"/>
  <c r="U100" i="1"/>
  <c r="T100" i="1"/>
  <c r="W100" i="1"/>
  <c r="X100" i="1"/>
  <c r="V64" i="1"/>
  <c r="U64" i="1"/>
  <c r="T64" i="1"/>
  <c r="Y100" i="1"/>
  <c r="W25" i="1"/>
  <c r="V50" i="1"/>
  <c r="T50" i="1"/>
  <c r="U50" i="1"/>
  <c r="U86" i="1"/>
  <c r="T86" i="1"/>
  <c r="X86" i="1"/>
  <c r="V86" i="1"/>
  <c r="W86" i="1"/>
  <c r="V114" i="1"/>
  <c r="T114" i="1"/>
  <c r="U114" i="1"/>
  <c r="W114" i="1"/>
  <c r="Y86" i="1"/>
  <c r="V42" i="1"/>
  <c r="Y87" i="1"/>
  <c r="Y28" i="1"/>
  <c r="X28" i="1"/>
  <c r="T28" i="1"/>
  <c r="W42" i="1"/>
  <c r="W52" i="1"/>
  <c r="Y52" i="1"/>
  <c r="X52" i="1"/>
  <c r="V52" i="1"/>
  <c r="U52" i="1"/>
  <c r="U67" i="1"/>
  <c r="T87" i="1"/>
  <c r="W92" i="1"/>
  <c r="T98" i="1"/>
  <c r="Y120" i="1"/>
  <c r="U28" i="1"/>
  <c r="X42" i="1"/>
  <c r="T52" i="1"/>
  <c r="U62" i="1"/>
  <c r="V67" i="1"/>
  <c r="X72" i="1"/>
  <c r="V72" i="1"/>
  <c r="W72" i="1"/>
  <c r="T72" i="1"/>
  <c r="U72" i="1"/>
  <c r="U87" i="1"/>
  <c r="X92" i="1"/>
  <c r="U121" i="1"/>
  <c r="T121" i="1"/>
  <c r="Y121" i="1"/>
  <c r="X121" i="1"/>
  <c r="W121" i="1"/>
  <c r="T94" i="1"/>
  <c r="Y94" i="1"/>
  <c r="X94" i="1"/>
  <c r="W94" i="1"/>
  <c r="V94" i="1"/>
  <c r="U94" i="1"/>
  <c r="T63" i="1"/>
  <c r="W89" i="1"/>
  <c r="Y103" i="1"/>
  <c r="X103" i="1"/>
  <c r="T103" i="1"/>
  <c r="U103" i="1"/>
  <c r="U111" i="1"/>
  <c r="T111" i="1"/>
  <c r="X111" i="1"/>
  <c r="V111" i="1"/>
  <c r="W111" i="1"/>
  <c r="Y111" i="1"/>
  <c r="W39" i="1"/>
  <c r="T68" i="1"/>
  <c r="U59" i="1"/>
  <c r="V69" i="1"/>
  <c r="Y69" i="1"/>
  <c r="X69" i="1"/>
  <c r="W69" i="1"/>
  <c r="T69" i="1"/>
  <c r="U69" i="1"/>
  <c r="X30" i="1"/>
  <c r="V30" i="1"/>
  <c r="U30" i="1"/>
  <c r="T30" i="1"/>
  <c r="Y30" i="1"/>
  <c r="W30" i="1"/>
  <c r="W20" i="1"/>
  <c r="Y64" i="1"/>
  <c r="U31" i="1"/>
  <c r="T31" i="1"/>
  <c r="U41" i="1"/>
  <c r="T41" i="1"/>
  <c r="X41" i="1"/>
  <c r="Y41" i="1"/>
  <c r="W41" i="1"/>
  <c r="V41" i="1"/>
  <c r="U61" i="1"/>
  <c r="T61" i="1"/>
  <c r="X61" i="1"/>
  <c r="V61" i="1"/>
  <c r="W61" i="1"/>
  <c r="U81" i="1"/>
  <c r="T81" i="1"/>
  <c r="X47" i="1"/>
  <c r="V47" i="1"/>
  <c r="W47" i="1"/>
  <c r="T47" i="1"/>
  <c r="U47" i="1"/>
  <c r="U71" i="1"/>
  <c r="T71" i="1"/>
  <c r="Y71" i="1"/>
  <c r="W71" i="1"/>
  <c r="V71" i="1"/>
  <c r="X81" i="1"/>
  <c r="V92" i="1"/>
  <c r="Y98" i="1"/>
  <c r="X98" i="1"/>
  <c r="Y17" i="1"/>
  <c r="T62" i="1"/>
  <c r="Y13" i="1"/>
  <c r="X13" i="1"/>
  <c r="W13" i="1"/>
  <c r="V13" i="1"/>
  <c r="U13" i="1"/>
  <c r="Y18" i="1"/>
  <c r="X18" i="1"/>
  <c r="W18" i="1"/>
  <c r="V18" i="1"/>
  <c r="V28" i="1"/>
  <c r="Y33" i="1"/>
  <c r="X33" i="1"/>
  <c r="T33" i="1"/>
  <c r="W33" i="1"/>
  <c r="V33" i="1"/>
  <c r="U33" i="1"/>
  <c r="Y42" i="1"/>
  <c r="Y48" i="1"/>
  <c r="X48" i="1"/>
  <c r="Y53" i="1"/>
  <c r="X53" i="1"/>
  <c r="T53" i="1"/>
  <c r="V62" i="1"/>
  <c r="W67" i="1"/>
  <c r="Y72" i="1"/>
  <c r="V77" i="1"/>
  <c r="U77" i="1"/>
  <c r="Y77" i="1"/>
  <c r="X77" i="1"/>
  <c r="W77" i="1"/>
  <c r="Y82" i="1"/>
  <c r="W82" i="1"/>
  <c r="V82" i="1"/>
  <c r="U82" i="1"/>
  <c r="V87" i="1"/>
  <c r="Y92" i="1"/>
  <c r="V98" i="1"/>
  <c r="T13" i="1"/>
  <c r="T18" i="1"/>
  <c r="W28" i="1"/>
  <c r="T48" i="1"/>
  <c r="U53" i="1"/>
  <c r="X67" i="1"/>
  <c r="T77" i="1"/>
  <c r="T82" i="1"/>
  <c r="W87" i="1"/>
  <c r="W98" i="1"/>
  <c r="Y109" i="1"/>
  <c r="X122" i="1"/>
  <c r="Y122" i="1"/>
  <c r="W122" i="1"/>
  <c r="V122" i="1"/>
  <c r="U122" i="1"/>
  <c r="T122" i="1"/>
  <c r="W24" i="1"/>
  <c r="X24" i="1"/>
  <c r="Y24" i="1"/>
  <c r="U24" i="1"/>
  <c r="T24" i="1"/>
  <c r="V39" i="1"/>
  <c r="U39" i="1"/>
  <c r="T39" i="1"/>
  <c r="Y44" i="1"/>
  <c r="X44" i="1"/>
  <c r="W44" i="1"/>
  <c r="V44" i="1"/>
  <c r="T44" i="1"/>
  <c r="U44" i="1"/>
  <c r="T59" i="1"/>
  <c r="T20" i="1"/>
  <c r="U68" i="1"/>
  <c r="W64" i="1"/>
  <c r="X64" i="1"/>
  <c r="Y25" i="1"/>
  <c r="W50" i="1"/>
  <c r="X50" i="1"/>
  <c r="Y31" i="1"/>
  <c r="V14" i="1"/>
  <c r="T14" i="1"/>
  <c r="U14" i="1"/>
  <c r="Y38" i="1"/>
  <c r="X38" i="1"/>
  <c r="V38" i="1"/>
  <c r="W38" i="1"/>
  <c r="U38" i="1"/>
  <c r="Y43" i="1"/>
  <c r="X43" i="1"/>
  <c r="W43" i="1"/>
  <c r="V43" i="1"/>
  <c r="Y58" i="1"/>
  <c r="X58" i="1"/>
  <c r="W58" i="1"/>
  <c r="V58" i="1"/>
  <c r="U58" i="1"/>
  <c r="T58" i="1"/>
  <c r="Y73" i="1"/>
  <c r="X73" i="1"/>
  <c r="Y78" i="1"/>
  <c r="X78" i="1"/>
  <c r="T78" i="1"/>
  <c r="Y93" i="1"/>
  <c r="X93" i="1"/>
  <c r="W93" i="1"/>
  <c r="V93" i="1"/>
  <c r="U93" i="1"/>
  <c r="W99" i="1"/>
  <c r="X99" i="1"/>
  <c r="Y99" i="1"/>
  <c r="U99" i="1"/>
  <c r="T99" i="1"/>
  <c r="X105" i="1"/>
  <c r="Y105" i="1"/>
  <c r="T105" i="1"/>
  <c r="W105" i="1"/>
  <c r="V105" i="1"/>
  <c r="U105" i="1"/>
  <c r="W110" i="1"/>
  <c r="Y110" i="1"/>
  <c r="X110" i="1"/>
  <c r="U110" i="1"/>
  <c r="T110" i="1"/>
  <c r="U116" i="1"/>
  <c r="T116" i="1"/>
  <c r="Y116" i="1"/>
  <c r="X116" i="1"/>
  <c r="W116" i="1"/>
  <c r="V116" i="1"/>
  <c r="U106" i="1"/>
  <c r="T106" i="1"/>
  <c r="Y123" i="1"/>
  <c r="W123" i="1"/>
  <c r="X123" i="1"/>
  <c r="V123" i="1"/>
  <c r="T123" i="1"/>
  <c r="U123" i="1"/>
</calcChain>
</file>

<file path=xl/sharedStrings.xml><?xml version="1.0" encoding="utf-8"?>
<sst xmlns="http://schemas.openxmlformats.org/spreadsheetml/2006/main" count="562" uniqueCount="270">
  <si>
    <t xml:space="preserve">Bin </t>
  </si>
  <si>
    <t>L ( mm )</t>
  </si>
  <si>
    <t>B (mm)</t>
  </si>
  <si>
    <t>H ( mm )</t>
  </si>
  <si>
    <t>Volume mm^3</t>
  </si>
  <si>
    <t xml:space="preserve">MS BIN </t>
  </si>
  <si>
    <t>MS BIN ( MESH )</t>
  </si>
  <si>
    <t>Demand</t>
  </si>
  <si>
    <t>MS PLASTIC</t>
  </si>
  <si>
    <t>S PLASTIC</t>
  </si>
  <si>
    <t>M PLASTIC</t>
  </si>
  <si>
    <t>L PLASTIC</t>
  </si>
  <si>
    <t>S No</t>
  </si>
  <si>
    <t>DWG No</t>
  </si>
  <si>
    <t>SAP No</t>
  </si>
  <si>
    <t>DESC</t>
  </si>
  <si>
    <t>Qty/Mc</t>
  </si>
  <si>
    <t>Thick</t>
  </si>
  <si>
    <t>LASER</t>
  </si>
  <si>
    <t>PLASMA CUTTING</t>
  </si>
  <si>
    <t>PRE FAB STORE</t>
  </si>
  <si>
    <t>MACHINE SHOP</t>
  </si>
  <si>
    <t>WELDING</t>
  </si>
  <si>
    <t>PC STORE</t>
  </si>
  <si>
    <t>length</t>
  </si>
  <si>
    <t xml:space="preserve">breadth </t>
  </si>
  <si>
    <t>height</t>
  </si>
  <si>
    <t>Product Volume</t>
  </si>
  <si>
    <t>Demand product volume</t>
  </si>
  <si>
    <t>MS BIN   ( MESH )</t>
  </si>
  <si>
    <t>Trolley</t>
  </si>
  <si>
    <t>List</t>
  </si>
  <si>
    <t>SSL740F00026</t>
  </si>
  <si>
    <t>SSL_740_RAD_REST_MOUNT_ASSY</t>
  </si>
  <si>
    <t>NA</t>
  </si>
  <si>
    <t>SSL740P00080</t>
  </si>
  <si>
    <t>SSL_740_RAD_REST_MOUNT_PLT</t>
  </si>
  <si>
    <t>8MM</t>
  </si>
  <si>
    <t>SSL740P00079</t>
  </si>
  <si>
    <t>SSL_740_RAD_REST_SUPPORT_RIB</t>
  </si>
  <si>
    <t>M10X1_5P_HEXAGONAL_NUT</t>
  </si>
  <si>
    <t>SSL740F00034</t>
  </si>
  <si>
    <t>SSL_740_HVAC_UNITS_MNT_FAB_ASSY</t>
  </si>
  <si>
    <t>SSL740P00545</t>
  </si>
  <si>
    <t>SSL_740_FILTER_DRYER_MNT_CLAMP</t>
  </si>
  <si>
    <t>5MM</t>
  </si>
  <si>
    <t>B41203100020</t>
  </si>
  <si>
    <t>SWL_BASE_PIPELINE_PAD</t>
  </si>
  <si>
    <t>SSL740P00313</t>
  </si>
  <si>
    <t>SSL_740_HVAC_SUB_UNIT_MNT_PLATE</t>
  </si>
  <si>
    <t>SSL740F00025</t>
  </si>
  <si>
    <t>SSL_740_RADIATOR_PISTON_MOUNT_ASSY</t>
  </si>
  <si>
    <t>SSL740P00050</t>
  </si>
  <si>
    <t>SSL_740_RAD_GASSPRING_MOUNT</t>
  </si>
  <si>
    <t>SSL740P00058</t>
  </si>
  <si>
    <t>SSL_740_RAD_GASSPRING_MOUNT_ROD</t>
  </si>
  <si>
    <t>Ø15*M8*30</t>
  </si>
  <si>
    <t>SSL740P00461</t>
  </si>
  <si>
    <t>SSL_740_RAD_STIFFNER_PLATE</t>
  </si>
  <si>
    <t>M10 NUT</t>
  </si>
  <si>
    <t>SSL740F00037</t>
  </si>
  <si>
    <t>SSL_740_ENG_SPARES_MOUNT_BKT_ASSY</t>
  </si>
  <si>
    <t>SSL740P00224</t>
  </si>
  <si>
    <t>SSL_740_ENG_SPARES_MOUNT_BKT</t>
  </si>
  <si>
    <t>SSL740P00569</t>
  </si>
  <si>
    <t>SSL_740_FUEL_FILTER_MNT_PLT</t>
  </si>
  <si>
    <t>SSL000B01732</t>
  </si>
  <si>
    <t>SSL_RELAY_BOX_BUSH_2</t>
  </si>
  <si>
    <t>SSL740P00568</t>
  </si>
  <si>
    <t>SSL_740_WATERSPT_MNT_PLT</t>
  </si>
  <si>
    <t>SSL740F00038</t>
  </si>
  <si>
    <t>SSL_740_ENG_SPARES_MNT_PLATE_ASSY</t>
  </si>
  <si>
    <t>SSL740P00223</t>
  </si>
  <si>
    <t>SSL_740_ENG_SPARES_MNT_PLATE</t>
  </si>
  <si>
    <t>SSL740F00051</t>
  </si>
  <si>
    <t>SSL_740_HYD_OIL_FILLER_HOLDER_PLATE</t>
  </si>
  <si>
    <t>SSL740P00567</t>
  </si>
  <si>
    <t>SSL_740_NIPPLE_WELD_PLATE</t>
  </si>
  <si>
    <t>PU11K01CB014</t>
  </si>
  <si>
    <t>1-1_4_BSPX1_FORMED_TUBE_NIPPLE</t>
  </si>
  <si>
    <t>M8X1_25P_HEX_NUT</t>
  </si>
  <si>
    <t>M8 NUT</t>
  </si>
  <si>
    <t>SSL740F00029</t>
  </si>
  <si>
    <t>SSL_740_AIRFILTER_WELDMENT_MOUNT</t>
  </si>
  <si>
    <t>SSL740P00233</t>
  </si>
  <si>
    <t>SSL_740_AIRFILTER_MOUNT_PLATE</t>
  </si>
  <si>
    <t>10MM</t>
  </si>
  <si>
    <t>SSL740P00232</t>
  </si>
  <si>
    <t>SSL_740_AIRFILTER_MOUNT_GUSSET</t>
  </si>
  <si>
    <t>6MM</t>
  </si>
  <si>
    <t>SSL740F00036</t>
  </si>
  <si>
    <t>SSL_740_ENG_FRNT_BRKT_LH_ASSY</t>
  </si>
  <si>
    <t>SSL740P00316</t>
  </si>
  <si>
    <t>SSL_740_ENG_SIDE_BRKT_LH</t>
  </si>
  <si>
    <t>12MM</t>
  </si>
  <si>
    <t>SSL740P00497</t>
  </si>
  <si>
    <t>SSL_740_ENG_GUSSET_LH</t>
  </si>
  <si>
    <t>SSL740F00035</t>
  </si>
  <si>
    <t>SSL_740_ENG_FRNT_BRKT_RH_ASSY</t>
  </si>
  <si>
    <t>SSL740P00315</t>
  </si>
  <si>
    <t>SSL_740_ENG_SIDE_BRKT_RH</t>
  </si>
  <si>
    <t>SSL740P00317</t>
  </si>
  <si>
    <t>SSL_740_ENG_GUSSET_RH</t>
  </si>
  <si>
    <t>SSL740F00028</t>
  </si>
  <si>
    <t>SSL_740_CONTROL_VALVE_MOUNT_ASSY</t>
  </si>
  <si>
    <t>SSL740P00144</t>
  </si>
  <si>
    <t>SSL_740_LOADER_VALVE_MOUNT</t>
  </si>
  <si>
    <t>7T12D1011020</t>
  </si>
  <si>
    <t>LDR_VALVE_MOUNTING_PAD</t>
  </si>
  <si>
    <t>SSL740P00607</t>
  </si>
  <si>
    <t>SSL_740_JOY_HOSE_CLAMP</t>
  </si>
  <si>
    <t>SSL740P00235</t>
  </si>
  <si>
    <t>SSL_740_CHASSIS_PIPE_LINE_CLAMP</t>
  </si>
  <si>
    <t>M6X1P_HEX_NUT</t>
  </si>
  <si>
    <t>M6 NUT</t>
  </si>
  <si>
    <t>SSL740F00046</t>
  </si>
  <si>
    <t>SSL_740_HYD_PIPE_VALVE_FAB</t>
  </si>
  <si>
    <t>SSL740P00476</t>
  </si>
  <si>
    <t>SSL_740_HYD_PIPE</t>
  </si>
  <si>
    <t>32*25*350</t>
  </si>
  <si>
    <t>PU11B04AB009</t>
  </si>
  <si>
    <t>1_2_ONESIDE_NIPPLE_Extra Length</t>
  </si>
  <si>
    <t>PU11B04AB007</t>
  </si>
  <si>
    <t>1_ONESIDE_NIPPLE</t>
  </si>
  <si>
    <t>PU11B04AB014</t>
  </si>
  <si>
    <t>3_4_GRIND_NIPPLE</t>
  </si>
  <si>
    <t>BSA122000003</t>
  </si>
  <si>
    <t>SMT_LDR1_BB_PIPE_SUPP_CLAMP</t>
  </si>
  <si>
    <t>PU11B04AB015</t>
  </si>
  <si>
    <t>3_8_GRIND_NIPPLE</t>
  </si>
  <si>
    <t>SSL740F00048</t>
  </si>
  <si>
    <t>SSL_740_RADIATOR_COWL_ASSY_8CC</t>
  </si>
  <si>
    <t>SSL740P00530</t>
  </si>
  <si>
    <t>SSL_740_RAD_COWL_8CC</t>
  </si>
  <si>
    <t>2MM</t>
  </si>
  <si>
    <t>SSL740P00240</t>
  </si>
  <si>
    <t>SSL_740_RAD_COWL_CLAMP</t>
  </si>
  <si>
    <t>SSL740P00302</t>
  </si>
  <si>
    <t>SSL_740_COWL_RING</t>
  </si>
  <si>
    <t>SSL740F00049</t>
  </si>
  <si>
    <t>SSL_740_RAD_FAN_SUPPORT_8CC</t>
  </si>
  <si>
    <t>SSL740P00533</t>
  </si>
  <si>
    <t>SSL_740_RAD_FAN_VERTICAL_SUPPORT_8CC</t>
  </si>
  <si>
    <t>SSL740P00242</t>
  </si>
  <si>
    <t>SSL_740_RAD_FAN_MOUNT_PLATE_1</t>
  </si>
  <si>
    <t>SSL740P00243</t>
  </si>
  <si>
    <t>SSL_740_RAD_FAN_MOUNT_PLATE_2</t>
  </si>
  <si>
    <t>SSL740F00033</t>
  </si>
  <si>
    <t>SSL_ARM_FOOT_STEP_FAB_ASSY</t>
  </si>
  <si>
    <t>SSL740P00151</t>
  </si>
  <si>
    <t>SSL_740_FOOT_STEP_PLATE</t>
  </si>
  <si>
    <t>SSL740P00152</t>
  </si>
  <si>
    <t>SSL_740_LDR_ARM_FOOT_REST_SUP</t>
  </si>
  <si>
    <t>SSL740F00003</t>
  </si>
  <si>
    <t>SSL_740_RADIATOR_COVER_FAB_ASSY</t>
  </si>
  <si>
    <t>SSL740P00108</t>
  </si>
  <si>
    <t>SSL_740_COVER_PLATE_RHS</t>
  </si>
  <si>
    <t>3MM</t>
  </si>
  <si>
    <t>SSL740P00113</t>
  </si>
  <si>
    <t>SSL_740_COVER_PLATE_LHS</t>
  </si>
  <si>
    <t>SSL740P00107</t>
  </si>
  <si>
    <t>SSL_740_RAIDATOR_COVER_FRONT_PLT</t>
  </si>
  <si>
    <t>SSL740P00109</t>
  </si>
  <si>
    <t>SSL_740_RADIATOR_COVER_MOUNT_PLT</t>
  </si>
  <si>
    <t>SSL740P00110</t>
  </si>
  <si>
    <t>SSL_740_RADIATOR_COVER_BACK_PLT</t>
  </si>
  <si>
    <t>SSL740P00112</t>
  </si>
  <si>
    <t>SSL_740_RADIATOR _COVER _PLT</t>
  </si>
  <si>
    <t>SSL740P00294</t>
  </si>
  <si>
    <t>SSL_740_PERFORATED_SHEET</t>
  </si>
  <si>
    <t>SSL740F00021</t>
  </si>
  <si>
    <t>SSL_740_BACK_DOOR_STRUCTURE_ASSY</t>
  </si>
  <si>
    <t>SSL740P00004</t>
  </si>
  <si>
    <t>SSL_740_BACK_DOOR_PLATE_MAIN</t>
  </si>
  <si>
    <t>SSL000B00603</t>
  </si>
  <si>
    <t>SSL_REAR_CAMERA_MNT_PLT_ASSY</t>
  </si>
  <si>
    <t>SSL000B00483</t>
  </si>
  <si>
    <t>SSL_DOOR_PIN_LOCK_PLATE</t>
  </si>
  <si>
    <t>SSL000B00516</t>
  </si>
  <si>
    <t>SSL_DOOR_BEADING_SPRT_PLT</t>
  </si>
  <si>
    <t>SSL000B00863</t>
  </si>
  <si>
    <t>SSL_DOOR_LOCK_MNT_PLT</t>
  </si>
  <si>
    <t>SSL000B00486</t>
  </si>
  <si>
    <t>SSL_LOCK_STOPPER_PLATE</t>
  </si>
  <si>
    <t>SSL000B00764</t>
  </si>
  <si>
    <t>SSL_HARNESS_CLAMP</t>
  </si>
  <si>
    <t>SSL740P00303</t>
  </si>
  <si>
    <t>SSL_740_HOSE_CLAMP</t>
  </si>
  <si>
    <t>SSL740P00463</t>
  </si>
  <si>
    <t>SSL_740_TAIL_LAMP_LOCK_PLATE</t>
  </si>
  <si>
    <t>SSL740P00275</t>
  </si>
  <si>
    <t>SSL_740_CAB_ROOF_PLT_BUSH</t>
  </si>
  <si>
    <t>Ø8*M4*12</t>
  </si>
  <si>
    <t>SSL740P00605</t>
  </si>
  <si>
    <t>SSL_740_BACKDOOR_PERFORATED_SHEET</t>
  </si>
  <si>
    <t>SSL740P00251</t>
  </si>
  <si>
    <t>SSL_740_CONDENSOR_MOUNT_PLATE</t>
  </si>
  <si>
    <t>BSC000000163</t>
  </si>
  <si>
    <t>HYU_BHO_DIPPER_STKR_LH</t>
  </si>
  <si>
    <t>SSL740F00032</t>
  </si>
  <si>
    <t>SSL_740_ENG_COMP_MNT_RH_ASSY</t>
  </si>
  <si>
    <t>SSL740P00245</t>
  </si>
  <si>
    <t>SSL_740_COMP_ADJ_FRNT_BRCKT</t>
  </si>
  <si>
    <t>SSL740P00246</t>
  </si>
  <si>
    <t>SSL_740_ENG_COMP_MNT_BTM_PLT</t>
  </si>
  <si>
    <t>SSL740P00247</t>
  </si>
  <si>
    <t>SSL_740_ENG_COMP_MNT_RH_PLT</t>
  </si>
  <si>
    <t>SSL740P00248</t>
  </si>
  <si>
    <t>SSL_740_COMP_BRKT_CNTR_PLT</t>
  </si>
  <si>
    <t>SSL740P00249</t>
  </si>
  <si>
    <t>SSL_740_COMP_SPRT_BACK_PLT</t>
  </si>
  <si>
    <t>SSL740P00250</t>
  </si>
  <si>
    <t>SSL_740_BRKT_BOTTOM_GUSSET</t>
  </si>
  <si>
    <t>SSL740F00045</t>
  </si>
  <si>
    <t>SSL_740_CAB_PANEL_BOARD_FAB</t>
  </si>
  <si>
    <t>SSL000B01321</t>
  </si>
  <si>
    <t>SSL_CABIN_FUSE_MOUNT_PLT</t>
  </si>
  <si>
    <t>SSL740P00349</t>
  </si>
  <si>
    <t>SSL_740_CAB_PANEL_BOARD</t>
  </si>
  <si>
    <t>SBL000001859</t>
  </si>
  <si>
    <t>SBL_CAB_ACC_CABLE_CNT_FAB</t>
  </si>
  <si>
    <t>SBL000001860</t>
  </si>
  <si>
    <t>SBL_CAB_ACC_CNT_PLT1</t>
  </si>
  <si>
    <t>SBL000001861</t>
  </si>
  <si>
    <t>SBL_CAB_ACC_CNT_PLT2</t>
  </si>
  <si>
    <t>SBL000001780</t>
  </si>
  <si>
    <t>SBL_CABIN_FOOT_ACC_FAB_ASSY</t>
  </si>
  <si>
    <t>SBL000001742</t>
  </si>
  <si>
    <t>SBL_ACC_PEDAL_MNT_GUIDE_PIN</t>
  </si>
  <si>
    <t>CB93BA210043</t>
  </si>
  <si>
    <t>SBL_ACC_CNT_BUSH</t>
  </si>
  <si>
    <t>SBL000001684</t>
  </si>
  <si>
    <t>SBL_FOOT_ACC_MNT_PLT</t>
  </si>
  <si>
    <t>SSL740F00043</t>
  </si>
  <si>
    <t>SSL_740_CAB_BRAKE_PEDAL_FAB</t>
  </si>
  <si>
    <t>7T12D1043201</t>
  </si>
  <si>
    <t>Brake_Pedal</t>
  </si>
  <si>
    <t>SSL740P00353</t>
  </si>
  <si>
    <t>SSL_740_FT_ACC_CONN_PLT</t>
  </si>
  <si>
    <t>SSL740F00044</t>
  </si>
  <si>
    <t>SSL_740_CAB_FRAMELESS_FD_FAB_ASSY</t>
  </si>
  <si>
    <t>MS bin</t>
  </si>
  <si>
    <t>SSL740P00494</t>
  </si>
  <si>
    <t>SSL_740_FRONT_DOOR_PIPE</t>
  </si>
  <si>
    <t>22*16*691</t>
  </si>
  <si>
    <t>SSL740P00496</t>
  </si>
  <si>
    <t>SSL_740_CABIN_FRONT_DOOR_LATCH_PLT</t>
  </si>
  <si>
    <t>BSC1404TA005</t>
  </si>
  <si>
    <t>CAB_LATCH_SUP_PLATE_PT_LH</t>
  </si>
  <si>
    <t>SSL740P00361</t>
  </si>
  <si>
    <t>SSL_740_FRONT_DOOR_FRAME_LOCK_PLT1</t>
  </si>
  <si>
    <t>SSL740P00363</t>
  </si>
  <si>
    <t>SSL_740_GAS_SPRING_MTNG_CLAMP</t>
  </si>
  <si>
    <t>SSL740F00050</t>
  </si>
  <si>
    <t>SSL_740_FRESH_AIR_LOUVERING_FAB</t>
  </si>
  <si>
    <t>SSL740P00436</t>
  </si>
  <si>
    <t>SSL_740_FRESH_AIR_LOUVERING_PLT</t>
  </si>
  <si>
    <t>SSL740P00566</t>
  </si>
  <si>
    <t>15X7X18_BUSH</t>
  </si>
  <si>
    <t>15*7*18</t>
  </si>
  <si>
    <t xml:space="preserve">Weight </t>
  </si>
  <si>
    <t>demand product weights</t>
  </si>
  <si>
    <t>ROP</t>
  </si>
  <si>
    <t>Demand product volume  (mm^3)</t>
  </si>
  <si>
    <t>Product Volume (mm^3)</t>
  </si>
  <si>
    <t>demand product weights (Kg)</t>
  </si>
  <si>
    <t>length (mm)</t>
  </si>
  <si>
    <t>breadth  (mm)</t>
  </si>
  <si>
    <t>height (mm)</t>
  </si>
  <si>
    <t>Weight 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</si>
</sst>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0_ 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5117038483843"/>
        <bgColor rgb="FF00808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164" fontId="0" fillId="5" borderId="1" xfId="0" applyNumberFormat="1" applyFill="1" applyBorder="1"/>
    <xf numFmtId="0" fontId="0" fillId="0" borderId="1" xfId="0" applyBorder="1"/>
    <xf numFmtId="0" fontId="0" fillId="6" borderId="1" xfId="0" applyFill="1" applyBorder="1" applyAlignment="1">
      <alignment horizontal="center" vertical="center"/>
    </xf>
    <xf numFmtId="0" fontId="0" fillId="5" borderId="1" xfId="0" applyFill="1" applyBorder="1"/>
    <xf numFmtId="165" fontId="0" fillId="0" borderId="1" xfId="0" applyNumberFormat="1" applyBorder="1"/>
    <xf numFmtId="0" fontId="0" fillId="7" borderId="1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184A-EFE6-437A-9E03-7AE6A618661E}">
  <dimension ref="A2:AA123"/>
  <sheetViews>
    <sheetView zoomScale="70" zoomScaleNormal="47" workbookViewId="0">
      <pane xSplit="27" ySplit="11" topLeftCell="AB14" activePane="bottomRight" state="frozen"/>
      <selection pane="topRight"/>
      <selection pane="bottomLeft"/>
      <selection pane="bottomRight" activeCell="M123" sqref="M11:S123"/>
    </sheetView>
  </sheetViews>
  <sheetFormatPr defaultColWidth="9.109375" defaultRowHeight="14.4"/>
  <cols>
    <col min="1" max="1" width="9.21875" bestFit="1" customWidth="1"/>
    <col min="2" max="2" width="15.109375" customWidth="1"/>
    <col min="3" max="3" width="9.21875" bestFit="1" customWidth="1"/>
    <col min="4" max="4" width="44.44140625" customWidth="1"/>
    <col min="5" max="5" width="9.21875" bestFit="1" customWidth="1"/>
    <col min="7" max="7" width="9.21875" bestFit="1" customWidth="1"/>
    <col min="8" max="8" width="18.33203125" hidden="1" customWidth="1"/>
    <col min="9" max="9" width="15.33203125" customWidth="1"/>
    <col min="10" max="10" width="9.109375" hidden="1" customWidth="1"/>
    <col min="11" max="11" width="15.109375" bestFit="1" customWidth="1"/>
    <col min="12" max="12" width="14.77734375" bestFit="1" customWidth="1"/>
    <col min="13" max="13" width="12" bestFit="1" customWidth="1"/>
    <col min="14" max="14" width="14" bestFit="1" customWidth="1"/>
    <col min="15" max="16" width="15" customWidth="1"/>
    <col min="17" max="17" width="10.33203125" bestFit="1" customWidth="1"/>
    <col min="18" max="18" width="11.44140625" bestFit="1" customWidth="1"/>
    <col min="19" max="19" width="11.44140625" customWidth="1"/>
    <col min="20" max="20" width="15.77734375" bestFit="1" customWidth="1"/>
    <col min="21" max="21" width="17.5546875" bestFit="1" customWidth="1"/>
    <col min="22" max="22" width="20" bestFit="1" customWidth="1"/>
    <col min="23" max="26" width="16.5546875" bestFit="1" customWidth="1"/>
    <col min="27" max="27" width="16.109375" bestFit="1" customWidth="1"/>
  </cols>
  <sheetData>
    <row r="2" spans="1:27">
      <c r="K2" s="1" t="s">
        <v>0</v>
      </c>
      <c r="L2" s="1" t="s">
        <v>1</v>
      </c>
      <c r="M2" s="1" t="s">
        <v>2</v>
      </c>
      <c r="N2" s="1" t="s">
        <v>3</v>
      </c>
      <c r="O2" s="1" t="s">
        <v>4</v>
      </c>
      <c r="P2" s="18"/>
    </row>
    <row r="3" spans="1:27">
      <c r="K3" s="1" t="s">
        <v>5</v>
      </c>
      <c r="L3" s="2">
        <v>900</v>
      </c>
      <c r="M3" s="2">
        <v>900</v>
      </c>
      <c r="N3" s="2">
        <v>140</v>
      </c>
      <c r="O3" s="1">
        <f t="shared" ref="O3:O8" si="0">L3*M3*N3</f>
        <v>113400000</v>
      </c>
      <c r="P3" s="18"/>
    </row>
    <row r="4" spans="1:27">
      <c r="K4" s="1" t="s">
        <v>6</v>
      </c>
      <c r="L4" s="2">
        <v>900</v>
      </c>
      <c r="M4" s="2">
        <v>900</v>
      </c>
      <c r="N4" s="2">
        <v>450</v>
      </c>
      <c r="O4" s="1">
        <f t="shared" si="0"/>
        <v>364500000</v>
      </c>
      <c r="P4" s="18"/>
      <c r="T4" s="3" t="s">
        <v>7</v>
      </c>
      <c r="U4" s="3">
        <v>5</v>
      </c>
    </row>
    <row r="5" spans="1:27">
      <c r="K5" s="1" t="s">
        <v>8</v>
      </c>
      <c r="L5" s="2">
        <v>900</v>
      </c>
      <c r="M5" s="2">
        <v>220</v>
      </c>
      <c r="N5" s="2">
        <v>120</v>
      </c>
      <c r="O5" s="1">
        <f t="shared" si="0"/>
        <v>23760000</v>
      </c>
      <c r="P5" s="18"/>
    </row>
    <row r="6" spans="1:27">
      <c r="K6" s="1" t="s">
        <v>9</v>
      </c>
      <c r="L6" s="2">
        <v>900</v>
      </c>
      <c r="M6" s="2">
        <v>300</v>
      </c>
      <c r="N6" s="2">
        <v>160</v>
      </c>
      <c r="O6" s="1">
        <f t="shared" si="0"/>
        <v>43200000</v>
      </c>
      <c r="P6" s="18"/>
    </row>
    <row r="7" spans="1:27">
      <c r="K7" s="1" t="s">
        <v>10</v>
      </c>
      <c r="L7" s="2">
        <v>900</v>
      </c>
      <c r="M7" s="2">
        <v>400</v>
      </c>
      <c r="N7" s="2">
        <v>220</v>
      </c>
      <c r="O7" s="1">
        <f t="shared" si="0"/>
        <v>79200000</v>
      </c>
      <c r="P7" s="18"/>
    </row>
    <row r="8" spans="1:27">
      <c r="K8" s="1" t="s">
        <v>11</v>
      </c>
      <c r="L8" s="2">
        <v>900</v>
      </c>
      <c r="M8" s="2">
        <v>600</v>
      </c>
      <c r="N8" s="2">
        <v>320</v>
      </c>
      <c r="O8" s="1">
        <f t="shared" si="0"/>
        <v>172800000</v>
      </c>
      <c r="P8" s="18"/>
    </row>
    <row r="10" spans="1:27" ht="15" thickBot="1">
      <c r="E10">
        <v>1</v>
      </c>
      <c r="M10" s="16">
        <v>1</v>
      </c>
    </row>
    <row r="11" spans="1:27" ht="46.8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18</v>
      </c>
      <c r="H11" s="4" t="s">
        <v>19</v>
      </c>
      <c r="I11" s="4" t="s">
        <v>20</v>
      </c>
      <c r="J11" s="4" t="s">
        <v>21</v>
      </c>
      <c r="K11" s="4" t="s">
        <v>22</v>
      </c>
      <c r="L11" s="4" t="s">
        <v>23</v>
      </c>
      <c r="M11" s="4" t="s">
        <v>24</v>
      </c>
      <c r="N11" s="4" t="s">
        <v>25</v>
      </c>
      <c r="O11" s="4" t="s">
        <v>26</v>
      </c>
      <c r="P11" s="19" t="s">
        <v>260</v>
      </c>
      <c r="Q11" s="5" t="s">
        <v>27</v>
      </c>
      <c r="R11" s="5" t="s">
        <v>28</v>
      </c>
      <c r="S11" s="17" t="s">
        <v>261</v>
      </c>
      <c r="T11" s="6" t="s">
        <v>5</v>
      </c>
      <c r="U11" s="6" t="s">
        <v>29</v>
      </c>
      <c r="V11" s="6" t="s">
        <v>8</v>
      </c>
      <c r="W11" s="6" t="s">
        <v>9</v>
      </c>
      <c r="X11" s="6" t="s">
        <v>10</v>
      </c>
      <c r="Y11" s="6" t="s">
        <v>11</v>
      </c>
      <c r="Z11" s="6" t="s">
        <v>30</v>
      </c>
      <c r="AA11" s="6" t="s">
        <v>31</v>
      </c>
    </row>
    <row r="12" spans="1:27">
      <c r="A12" s="7">
        <v>1</v>
      </c>
      <c r="B12" s="7" t="s">
        <v>32</v>
      </c>
      <c r="C12" s="8">
        <v>7038068</v>
      </c>
      <c r="D12" s="8" t="s">
        <v>33</v>
      </c>
      <c r="E12" s="8">
        <v>2</v>
      </c>
      <c r="F12" s="8" t="s">
        <v>34</v>
      </c>
      <c r="G12" s="8"/>
      <c r="H12" s="8"/>
      <c r="I12" s="8"/>
      <c r="J12" s="8"/>
      <c r="K12" s="8"/>
      <c r="L12" s="8">
        <v>1</v>
      </c>
      <c r="M12" s="8">
        <v>188</v>
      </c>
      <c r="N12" s="8">
        <v>65</v>
      </c>
      <c r="O12" s="8">
        <v>90</v>
      </c>
      <c r="P12" s="8">
        <v>2</v>
      </c>
      <c r="Q12" s="8">
        <f>E12*M12*N12*O12</f>
        <v>2199600</v>
      </c>
      <c r="R12" s="8">
        <f>Q12*$U$4</f>
        <v>10998000</v>
      </c>
      <c r="S12" s="8">
        <f>U4*E12*P12</f>
        <v>20</v>
      </c>
      <c r="T12" s="9">
        <f>R12/$O$3</f>
        <v>9.6984126984126978E-2</v>
      </c>
      <c r="U12" s="9">
        <f>R12/$O$4</f>
        <v>3.017283950617284E-2</v>
      </c>
      <c r="V12" s="9">
        <f>R12/$O$5</f>
        <v>0.46287878787878789</v>
      </c>
      <c r="W12" s="9">
        <f>R12/$O$6</f>
        <v>0.25458333333333333</v>
      </c>
      <c r="X12" s="10">
        <f>R12/$O$7</f>
        <v>0.13886363636363636</v>
      </c>
      <c r="Y12" s="9">
        <f>R12/$O$8</f>
        <v>6.3645833333333332E-2</v>
      </c>
      <c r="Z12" s="11"/>
      <c r="AA12" s="11" t="s">
        <v>10</v>
      </c>
    </row>
    <row r="13" spans="1:27">
      <c r="A13" s="8">
        <v>1.1000000000000001</v>
      </c>
      <c r="B13" s="12" t="s">
        <v>35</v>
      </c>
      <c r="C13" s="8">
        <v>7038069</v>
      </c>
      <c r="D13" s="8" t="s">
        <v>36</v>
      </c>
      <c r="E13" s="8">
        <v>2</v>
      </c>
      <c r="F13" s="8" t="s">
        <v>37</v>
      </c>
      <c r="G13" s="8">
        <v>1</v>
      </c>
      <c r="H13" s="8"/>
      <c r="I13" s="8">
        <v>1</v>
      </c>
      <c r="J13" s="8"/>
      <c r="K13" s="8">
        <v>1</v>
      </c>
      <c r="L13" s="8"/>
      <c r="M13" s="8">
        <v>189</v>
      </c>
      <c r="N13" s="8">
        <v>66</v>
      </c>
      <c r="O13" s="8">
        <v>91</v>
      </c>
      <c r="P13" s="8">
        <v>2</v>
      </c>
      <c r="Q13" s="8">
        <f t="shared" ref="Q13:Q76" si="1">E13*M13*N13*O13</f>
        <v>2270268</v>
      </c>
      <c r="R13" s="8">
        <f t="shared" ref="R13:R76" si="2">Q13*$U$4</f>
        <v>11351340</v>
      </c>
      <c r="S13" s="8"/>
      <c r="T13" s="9">
        <f t="shared" ref="T13:T76" si="3">R13/$O$3</f>
        <v>0.10009999999999999</v>
      </c>
      <c r="U13" s="9">
        <f t="shared" ref="U13:U76" si="4">R13/$O$4</f>
        <v>3.1142222222222224E-2</v>
      </c>
      <c r="V13" s="9">
        <f t="shared" ref="V13:V76" si="5">R13/$O$5</f>
        <v>0.47775000000000001</v>
      </c>
      <c r="W13" s="9">
        <f t="shared" ref="W13:W76" si="6">R13/$O$6</f>
        <v>0.26276250000000001</v>
      </c>
      <c r="X13" s="10">
        <f t="shared" ref="X13:X76" si="7">R13/$O$7</f>
        <v>0.14332500000000001</v>
      </c>
      <c r="Y13" s="9">
        <f t="shared" ref="Y13:Y76" si="8">R13/$O$8</f>
        <v>6.5690625000000002E-2</v>
      </c>
      <c r="Z13" s="11"/>
      <c r="AA13" s="11" t="s">
        <v>10</v>
      </c>
    </row>
    <row r="14" spans="1:27">
      <c r="A14" s="8">
        <v>1.2</v>
      </c>
      <c r="B14" s="12" t="s">
        <v>38</v>
      </c>
      <c r="C14" s="8">
        <v>7038070</v>
      </c>
      <c r="D14" s="8" t="s">
        <v>39</v>
      </c>
      <c r="E14" s="8">
        <v>2</v>
      </c>
      <c r="F14" s="8" t="s">
        <v>37</v>
      </c>
      <c r="G14" s="8">
        <v>1</v>
      </c>
      <c r="H14" s="8"/>
      <c r="I14" s="8">
        <v>1</v>
      </c>
      <c r="J14" s="8"/>
      <c r="K14" s="8">
        <v>1</v>
      </c>
      <c r="L14" s="8"/>
      <c r="M14" s="8">
        <v>130</v>
      </c>
      <c r="N14" s="8">
        <v>72</v>
      </c>
      <c r="O14" s="8">
        <v>8</v>
      </c>
      <c r="P14" s="8">
        <v>2</v>
      </c>
      <c r="Q14" s="8">
        <f t="shared" si="1"/>
        <v>149760</v>
      </c>
      <c r="R14" s="8">
        <f t="shared" si="2"/>
        <v>748800</v>
      </c>
      <c r="S14" s="8"/>
      <c r="T14" s="9">
        <f t="shared" si="3"/>
        <v>6.603174603174603E-3</v>
      </c>
      <c r="U14" s="9">
        <f t="shared" si="4"/>
        <v>2.0543209876543208E-3</v>
      </c>
      <c r="V14" s="10">
        <f t="shared" si="5"/>
        <v>3.1515151515151517E-2</v>
      </c>
      <c r="W14" s="9">
        <f t="shared" si="6"/>
        <v>1.7333333333333333E-2</v>
      </c>
      <c r="X14" s="9">
        <f t="shared" si="7"/>
        <v>9.4545454545454551E-3</v>
      </c>
      <c r="Y14" s="9">
        <f t="shared" si="8"/>
        <v>4.3333333333333331E-3</v>
      </c>
      <c r="Z14" s="11"/>
      <c r="AA14" s="11" t="s">
        <v>8</v>
      </c>
    </row>
    <row r="15" spans="1:27">
      <c r="A15" s="8">
        <v>1.3</v>
      </c>
      <c r="B15" s="12"/>
      <c r="C15" s="8"/>
      <c r="D15" s="8" t="s">
        <v>40</v>
      </c>
      <c r="E15" s="8">
        <v>2</v>
      </c>
      <c r="F15" s="8" t="s">
        <v>34</v>
      </c>
      <c r="G15" s="8"/>
      <c r="H15" s="8"/>
      <c r="I15" s="8">
        <v>1</v>
      </c>
      <c r="J15" s="8"/>
      <c r="K15" s="8">
        <v>1</v>
      </c>
      <c r="L15" s="8"/>
      <c r="M15" s="8"/>
      <c r="N15" s="8"/>
      <c r="O15" s="8"/>
      <c r="P15" s="8">
        <v>2</v>
      </c>
      <c r="Q15" s="8">
        <f t="shared" si="1"/>
        <v>0</v>
      </c>
      <c r="R15" s="8">
        <f t="shared" si="2"/>
        <v>0</v>
      </c>
      <c r="S15" s="8"/>
      <c r="T15" s="9">
        <f t="shared" si="3"/>
        <v>0</v>
      </c>
      <c r="U15" s="9">
        <f t="shared" si="4"/>
        <v>0</v>
      </c>
      <c r="V15" s="10">
        <f t="shared" si="5"/>
        <v>0</v>
      </c>
      <c r="W15" s="9">
        <f t="shared" si="6"/>
        <v>0</v>
      </c>
      <c r="X15" s="9">
        <f t="shared" si="7"/>
        <v>0</v>
      </c>
      <c r="Y15" s="9">
        <f t="shared" si="8"/>
        <v>0</v>
      </c>
      <c r="Z15" s="11"/>
      <c r="AA15" s="11" t="s">
        <v>8</v>
      </c>
    </row>
    <row r="16" spans="1:27">
      <c r="A16" s="7">
        <v>2</v>
      </c>
      <c r="B16" s="7" t="s">
        <v>41</v>
      </c>
      <c r="C16" s="8">
        <v>7038319</v>
      </c>
      <c r="D16" s="8" t="s">
        <v>42</v>
      </c>
      <c r="E16" s="8">
        <v>1</v>
      </c>
      <c r="F16" s="8" t="s">
        <v>34</v>
      </c>
      <c r="G16" s="8"/>
      <c r="H16" s="8"/>
      <c r="I16" s="8"/>
      <c r="J16" s="8"/>
      <c r="K16" s="8"/>
      <c r="L16" s="8">
        <v>1</v>
      </c>
      <c r="M16" s="8">
        <v>260</v>
      </c>
      <c r="N16" s="8">
        <v>250</v>
      </c>
      <c r="O16" s="8">
        <v>135</v>
      </c>
      <c r="P16" s="8">
        <v>2</v>
      </c>
      <c r="Q16" s="8">
        <f t="shared" si="1"/>
        <v>8775000</v>
      </c>
      <c r="R16" s="8">
        <f t="shared" si="2"/>
        <v>43875000</v>
      </c>
      <c r="S16" s="8"/>
      <c r="T16" s="9">
        <f t="shared" si="3"/>
        <v>0.38690476190476192</v>
      </c>
      <c r="U16" s="9">
        <f t="shared" si="4"/>
        <v>0.12037037037037036</v>
      </c>
      <c r="V16" s="9">
        <f t="shared" si="5"/>
        <v>1.8465909090909092</v>
      </c>
      <c r="W16" s="9">
        <f t="shared" si="6"/>
        <v>1.015625</v>
      </c>
      <c r="X16" s="9">
        <f t="shared" si="7"/>
        <v>0.55397727272727271</v>
      </c>
      <c r="Y16" s="10">
        <f t="shared" si="8"/>
        <v>0.25390625</v>
      </c>
      <c r="Z16" s="11"/>
      <c r="AA16" s="11" t="s">
        <v>11</v>
      </c>
    </row>
    <row r="17" spans="1:27">
      <c r="A17" s="8">
        <v>2.1</v>
      </c>
      <c r="B17" s="8" t="s">
        <v>43</v>
      </c>
      <c r="C17" s="8">
        <v>7041099</v>
      </c>
      <c r="D17" s="8" t="s">
        <v>44</v>
      </c>
      <c r="E17" s="8">
        <v>1</v>
      </c>
      <c r="F17" s="8" t="s">
        <v>45</v>
      </c>
      <c r="G17" s="8">
        <v>1</v>
      </c>
      <c r="H17" s="8"/>
      <c r="I17" s="8">
        <v>1</v>
      </c>
      <c r="J17" s="8"/>
      <c r="K17" s="8">
        <v>1</v>
      </c>
      <c r="L17" s="8"/>
      <c r="M17" s="8">
        <v>80</v>
      </c>
      <c r="N17" s="8">
        <v>50</v>
      </c>
      <c r="O17" s="8">
        <v>40</v>
      </c>
      <c r="P17" s="8">
        <v>2</v>
      </c>
      <c r="Q17" s="8">
        <f t="shared" si="1"/>
        <v>160000</v>
      </c>
      <c r="R17" s="8">
        <f t="shared" si="2"/>
        <v>800000</v>
      </c>
      <c r="S17" s="8"/>
      <c r="T17" s="9">
        <f t="shared" si="3"/>
        <v>7.0546737213403876E-3</v>
      </c>
      <c r="U17" s="9">
        <f t="shared" si="4"/>
        <v>2.1947873799725653E-3</v>
      </c>
      <c r="V17" s="10">
        <f t="shared" si="5"/>
        <v>3.3670033670033669E-2</v>
      </c>
      <c r="W17" s="9">
        <f t="shared" si="6"/>
        <v>1.8518518518518517E-2</v>
      </c>
      <c r="X17" s="9">
        <f t="shared" si="7"/>
        <v>1.0101010101010102E-2</v>
      </c>
      <c r="Y17" s="9">
        <f t="shared" si="8"/>
        <v>4.6296296296296294E-3</v>
      </c>
      <c r="Z17" s="11"/>
      <c r="AA17" s="11" t="s">
        <v>8</v>
      </c>
    </row>
    <row r="18" spans="1:27">
      <c r="A18" s="8">
        <v>2.2000000000000002</v>
      </c>
      <c r="B18" s="8" t="s">
        <v>46</v>
      </c>
      <c r="C18" s="8">
        <v>7017907</v>
      </c>
      <c r="D18" s="8" t="s">
        <v>47</v>
      </c>
      <c r="E18" s="8">
        <v>1</v>
      </c>
      <c r="F18" s="8"/>
      <c r="G18" s="8">
        <v>1</v>
      </c>
      <c r="H18" s="8"/>
      <c r="I18" s="8">
        <v>1</v>
      </c>
      <c r="J18" s="8"/>
      <c r="K18" s="8">
        <v>1</v>
      </c>
      <c r="L18" s="8"/>
      <c r="M18" s="8"/>
      <c r="N18" s="8"/>
      <c r="O18" s="8"/>
      <c r="P18" s="8">
        <v>2</v>
      </c>
      <c r="Q18" s="8">
        <f t="shared" si="1"/>
        <v>0</v>
      </c>
      <c r="R18" s="8">
        <f t="shared" si="2"/>
        <v>0</v>
      </c>
      <c r="S18" s="8"/>
      <c r="T18" s="9">
        <f t="shared" si="3"/>
        <v>0</v>
      </c>
      <c r="U18" s="9">
        <f t="shared" si="4"/>
        <v>0</v>
      </c>
      <c r="V18" s="9">
        <f t="shared" si="5"/>
        <v>0</v>
      </c>
      <c r="W18" s="9">
        <f t="shared" si="6"/>
        <v>0</v>
      </c>
      <c r="X18" s="9">
        <f t="shared" si="7"/>
        <v>0</v>
      </c>
      <c r="Y18" s="9">
        <f t="shared" si="8"/>
        <v>0</v>
      </c>
      <c r="Z18" s="11"/>
      <c r="AA18" s="11"/>
    </row>
    <row r="19" spans="1:27">
      <c r="A19" s="8">
        <v>2.2999999999999998</v>
      </c>
      <c r="B19" s="8" t="s">
        <v>48</v>
      </c>
      <c r="C19" s="8">
        <v>7038320</v>
      </c>
      <c r="D19" s="8" t="s">
        <v>49</v>
      </c>
      <c r="E19" s="8">
        <v>1</v>
      </c>
      <c r="F19" s="8" t="s">
        <v>45</v>
      </c>
      <c r="G19" s="8">
        <v>1</v>
      </c>
      <c r="H19" s="8"/>
      <c r="I19" s="8">
        <v>1</v>
      </c>
      <c r="J19" s="8"/>
      <c r="K19" s="8">
        <v>1</v>
      </c>
      <c r="L19" s="8"/>
      <c r="M19" s="8">
        <v>245</v>
      </c>
      <c r="N19" s="8">
        <v>140</v>
      </c>
      <c r="O19" s="8">
        <v>250</v>
      </c>
      <c r="P19" s="8">
        <v>2</v>
      </c>
      <c r="Q19" s="8">
        <f t="shared" si="1"/>
        <v>8575000</v>
      </c>
      <c r="R19" s="8">
        <f t="shared" si="2"/>
        <v>42875000</v>
      </c>
      <c r="S19" s="8"/>
      <c r="T19" s="9">
        <f t="shared" si="3"/>
        <v>0.37808641975308643</v>
      </c>
      <c r="U19" s="9">
        <f t="shared" si="4"/>
        <v>0.11762688614540466</v>
      </c>
      <c r="V19" s="9">
        <f t="shared" si="5"/>
        <v>1.804503367003367</v>
      </c>
      <c r="W19" s="9">
        <f t="shared" si="6"/>
        <v>0.99247685185185186</v>
      </c>
      <c r="X19" s="9">
        <f t="shared" si="7"/>
        <v>0.54135101010101006</v>
      </c>
      <c r="Y19" s="10">
        <f t="shared" si="8"/>
        <v>0.24811921296296297</v>
      </c>
      <c r="Z19" s="11"/>
      <c r="AA19" s="11" t="s">
        <v>11</v>
      </c>
    </row>
    <row r="20" spans="1:27">
      <c r="A20" s="8">
        <v>2.4</v>
      </c>
      <c r="B20" s="8"/>
      <c r="C20" s="8"/>
      <c r="D20" s="8" t="s">
        <v>40</v>
      </c>
      <c r="E20" s="8">
        <v>2</v>
      </c>
      <c r="F20" s="8" t="s">
        <v>34</v>
      </c>
      <c r="G20" s="8"/>
      <c r="H20" s="8"/>
      <c r="I20" s="8">
        <v>1</v>
      </c>
      <c r="J20" s="8"/>
      <c r="K20" s="8">
        <v>1</v>
      </c>
      <c r="L20" s="8"/>
      <c r="M20" s="8"/>
      <c r="N20" s="8"/>
      <c r="O20" s="8"/>
      <c r="P20" s="8">
        <v>2</v>
      </c>
      <c r="Q20" s="8">
        <f t="shared" si="1"/>
        <v>0</v>
      </c>
      <c r="R20" s="8">
        <f t="shared" si="2"/>
        <v>0</v>
      </c>
      <c r="S20" s="8"/>
      <c r="T20" s="9">
        <f t="shared" si="3"/>
        <v>0</v>
      </c>
      <c r="U20" s="9">
        <f t="shared" si="4"/>
        <v>0</v>
      </c>
      <c r="V20" s="10">
        <f t="shared" si="5"/>
        <v>0</v>
      </c>
      <c r="W20" s="9">
        <f t="shared" si="6"/>
        <v>0</v>
      </c>
      <c r="X20" s="9">
        <f t="shared" si="7"/>
        <v>0</v>
      </c>
      <c r="Y20" s="9">
        <f t="shared" si="8"/>
        <v>0</v>
      </c>
      <c r="Z20" s="11"/>
      <c r="AA20" s="11" t="s">
        <v>8</v>
      </c>
    </row>
    <row r="21" spans="1:27">
      <c r="A21" s="7">
        <v>3</v>
      </c>
      <c r="B21" s="7" t="s">
        <v>50</v>
      </c>
      <c r="C21" s="8">
        <v>7038076</v>
      </c>
      <c r="D21" s="8" t="s">
        <v>51</v>
      </c>
      <c r="E21" s="8">
        <v>1</v>
      </c>
      <c r="F21" s="8" t="s">
        <v>34</v>
      </c>
      <c r="G21" s="8"/>
      <c r="H21" s="8"/>
      <c r="I21" s="8"/>
      <c r="J21" s="8"/>
      <c r="K21" s="8"/>
      <c r="L21" s="8">
        <v>1</v>
      </c>
      <c r="M21" s="8">
        <v>89</v>
      </c>
      <c r="N21" s="8">
        <v>73</v>
      </c>
      <c r="O21" s="8">
        <v>75</v>
      </c>
      <c r="P21" s="8">
        <v>2</v>
      </c>
      <c r="Q21" s="8">
        <f t="shared" si="1"/>
        <v>487275</v>
      </c>
      <c r="R21" s="8">
        <f t="shared" si="2"/>
        <v>2436375</v>
      </c>
      <c r="S21" s="8"/>
      <c r="T21" s="9">
        <f t="shared" si="3"/>
        <v>2.148478835978836E-2</v>
      </c>
      <c r="U21" s="9">
        <f t="shared" si="4"/>
        <v>6.6841563786008227E-3</v>
      </c>
      <c r="V21" s="10">
        <f t="shared" si="5"/>
        <v>0.10254103535353536</v>
      </c>
      <c r="W21" s="9">
        <f t="shared" si="6"/>
        <v>5.6397569444444441E-2</v>
      </c>
      <c r="X21" s="9">
        <f t="shared" si="7"/>
        <v>3.0762310606060606E-2</v>
      </c>
      <c r="Y21" s="9">
        <f t="shared" si="8"/>
        <v>1.409939236111111E-2</v>
      </c>
      <c r="Z21" s="11"/>
      <c r="AA21" s="11" t="s">
        <v>8</v>
      </c>
    </row>
    <row r="22" spans="1:27">
      <c r="A22" s="8">
        <v>3.1</v>
      </c>
      <c r="B22" s="8" t="s">
        <v>52</v>
      </c>
      <c r="C22" s="8">
        <v>7038077</v>
      </c>
      <c r="D22" s="8" t="s">
        <v>53</v>
      </c>
      <c r="E22" s="8">
        <v>1</v>
      </c>
      <c r="F22" s="8" t="s">
        <v>45</v>
      </c>
      <c r="G22" s="8">
        <v>1</v>
      </c>
      <c r="H22" s="8"/>
      <c r="I22" s="8">
        <v>1</v>
      </c>
      <c r="J22" s="8"/>
      <c r="K22" s="8">
        <v>1</v>
      </c>
      <c r="L22" s="8"/>
      <c r="M22" s="8">
        <v>75</v>
      </c>
      <c r="N22" s="8">
        <v>73</v>
      </c>
      <c r="O22" s="8">
        <v>63.5</v>
      </c>
      <c r="P22" s="8">
        <v>2</v>
      </c>
      <c r="Q22" s="8">
        <f t="shared" si="1"/>
        <v>347662.5</v>
      </c>
      <c r="R22" s="8">
        <f t="shared" si="2"/>
        <v>1738312.5</v>
      </c>
      <c r="S22" s="8"/>
      <c r="T22" s="9">
        <f t="shared" si="3"/>
        <v>1.5329034391534392E-2</v>
      </c>
      <c r="U22" s="9">
        <f t="shared" si="4"/>
        <v>4.7690329218106993E-3</v>
      </c>
      <c r="V22" s="10">
        <f t="shared" si="5"/>
        <v>7.31613005050505E-2</v>
      </c>
      <c r="W22" s="9">
        <f t="shared" si="6"/>
        <v>4.0238715277777781E-2</v>
      </c>
      <c r="X22" s="9">
        <f t="shared" si="7"/>
        <v>2.1948390151515153E-2</v>
      </c>
      <c r="Y22" s="9">
        <f t="shared" si="8"/>
        <v>1.0059678819444445E-2</v>
      </c>
      <c r="Z22" s="11"/>
      <c r="AA22" s="11" t="s">
        <v>8</v>
      </c>
    </row>
    <row r="23" spans="1:27">
      <c r="A23" s="8">
        <v>3.2</v>
      </c>
      <c r="B23" s="8" t="s">
        <v>54</v>
      </c>
      <c r="C23" s="8">
        <v>2017878</v>
      </c>
      <c r="D23" s="8" t="s">
        <v>55</v>
      </c>
      <c r="E23" s="8">
        <v>1</v>
      </c>
      <c r="F23" s="8" t="s">
        <v>56</v>
      </c>
      <c r="G23" s="8">
        <v>1</v>
      </c>
      <c r="H23" s="8"/>
      <c r="I23" s="8">
        <v>1</v>
      </c>
      <c r="J23" s="8"/>
      <c r="K23" s="8">
        <v>1</v>
      </c>
      <c r="L23" s="8"/>
      <c r="M23" s="8">
        <v>30</v>
      </c>
      <c r="N23" s="8">
        <v>15</v>
      </c>
      <c r="O23" s="8">
        <v>15</v>
      </c>
      <c r="P23" s="8">
        <v>2</v>
      </c>
      <c r="Q23" s="8">
        <f t="shared" si="1"/>
        <v>6750</v>
      </c>
      <c r="R23" s="8">
        <f t="shared" si="2"/>
        <v>33750</v>
      </c>
      <c r="S23" s="8"/>
      <c r="T23" s="9">
        <f t="shared" si="3"/>
        <v>2.9761904761904765E-4</v>
      </c>
      <c r="U23" s="9">
        <f t="shared" si="4"/>
        <v>9.2592592592592588E-5</v>
      </c>
      <c r="V23" s="10">
        <f t="shared" si="5"/>
        <v>1.4204545454545455E-3</v>
      </c>
      <c r="W23" s="9">
        <f t="shared" si="6"/>
        <v>7.8125000000000004E-4</v>
      </c>
      <c r="X23" s="9">
        <f t="shared" si="7"/>
        <v>4.2613636363636362E-4</v>
      </c>
      <c r="Y23" s="9">
        <f t="shared" si="8"/>
        <v>1.9531250000000001E-4</v>
      </c>
      <c r="Z23" s="11"/>
      <c r="AA23" s="11" t="s">
        <v>8</v>
      </c>
    </row>
    <row r="24" spans="1:27">
      <c r="A24" s="8">
        <v>3.3</v>
      </c>
      <c r="B24" s="8" t="s">
        <v>57</v>
      </c>
      <c r="C24" s="8">
        <v>7038078</v>
      </c>
      <c r="D24" s="8" t="s">
        <v>58</v>
      </c>
      <c r="E24" s="8">
        <v>1</v>
      </c>
      <c r="F24" s="8" t="s">
        <v>45</v>
      </c>
      <c r="G24" s="8">
        <v>1</v>
      </c>
      <c r="H24" s="8"/>
      <c r="I24" s="8">
        <v>1</v>
      </c>
      <c r="J24" s="8"/>
      <c r="K24" s="8">
        <v>1</v>
      </c>
      <c r="L24" s="8"/>
      <c r="M24" s="8">
        <v>60</v>
      </c>
      <c r="N24" s="8">
        <v>53</v>
      </c>
      <c r="O24" s="8">
        <v>5</v>
      </c>
      <c r="P24" s="8">
        <v>2</v>
      </c>
      <c r="Q24" s="8">
        <f t="shared" si="1"/>
        <v>15900</v>
      </c>
      <c r="R24" s="8">
        <f t="shared" si="2"/>
        <v>79500</v>
      </c>
      <c r="S24" s="8"/>
      <c r="T24" s="9">
        <f t="shared" si="3"/>
        <v>7.0105820105820108E-4</v>
      </c>
      <c r="U24" s="9">
        <f t="shared" si="4"/>
        <v>2.1810699588477366E-4</v>
      </c>
      <c r="V24" s="10">
        <f t="shared" si="5"/>
        <v>3.3459595959595958E-3</v>
      </c>
      <c r="W24" s="9">
        <f t="shared" si="6"/>
        <v>1.8402777777777777E-3</v>
      </c>
      <c r="X24" s="9">
        <f t="shared" si="7"/>
        <v>1.0037878787878787E-3</v>
      </c>
      <c r="Y24" s="9">
        <f t="shared" si="8"/>
        <v>4.6006944444444443E-4</v>
      </c>
      <c r="Z24" s="11"/>
      <c r="AA24" s="11" t="s">
        <v>8</v>
      </c>
    </row>
    <row r="25" spans="1:27">
      <c r="A25" s="8">
        <v>3.4</v>
      </c>
      <c r="B25" s="8"/>
      <c r="C25" s="8"/>
      <c r="D25" s="8" t="s">
        <v>40</v>
      </c>
      <c r="E25" s="8">
        <v>2</v>
      </c>
      <c r="F25" s="8" t="s">
        <v>59</v>
      </c>
      <c r="G25" s="8"/>
      <c r="H25" s="8"/>
      <c r="I25" s="8">
        <v>1</v>
      </c>
      <c r="J25" s="8"/>
      <c r="K25" s="8">
        <v>1</v>
      </c>
      <c r="L25" s="8"/>
      <c r="M25" s="8"/>
      <c r="N25" s="8"/>
      <c r="O25" s="8"/>
      <c r="P25" s="8">
        <v>2</v>
      </c>
      <c r="Q25" s="8">
        <f t="shared" si="1"/>
        <v>0</v>
      </c>
      <c r="R25" s="8">
        <f t="shared" si="2"/>
        <v>0</v>
      </c>
      <c r="S25" s="8"/>
      <c r="T25" s="9">
        <f t="shared" si="3"/>
        <v>0</v>
      </c>
      <c r="U25" s="9">
        <f t="shared" si="4"/>
        <v>0</v>
      </c>
      <c r="V25" s="10">
        <f t="shared" si="5"/>
        <v>0</v>
      </c>
      <c r="W25" s="9">
        <f t="shared" si="6"/>
        <v>0</v>
      </c>
      <c r="X25" s="9">
        <f t="shared" si="7"/>
        <v>0</v>
      </c>
      <c r="Y25" s="9">
        <f t="shared" si="8"/>
        <v>0</v>
      </c>
      <c r="Z25" s="11"/>
      <c r="AA25" s="11" t="s">
        <v>8</v>
      </c>
    </row>
    <row r="26" spans="1:27">
      <c r="A26" s="7">
        <v>4</v>
      </c>
      <c r="B26" s="7" t="s">
        <v>60</v>
      </c>
      <c r="C26" s="8">
        <v>7038088</v>
      </c>
      <c r="D26" s="8" t="s">
        <v>61</v>
      </c>
      <c r="E26" s="8">
        <v>1</v>
      </c>
      <c r="F26" s="8" t="s">
        <v>34</v>
      </c>
      <c r="G26" s="8"/>
      <c r="H26" s="8"/>
      <c r="I26" s="8"/>
      <c r="J26" s="8"/>
      <c r="K26" s="8"/>
      <c r="L26" s="8">
        <v>1</v>
      </c>
      <c r="M26" s="8">
        <v>285</v>
      </c>
      <c r="N26" s="8">
        <v>143</v>
      </c>
      <c r="O26" s="8">
        <v>180</v>
      </c>
      <c r="P26" s="8">
        <v>2</v>
      </c>
      <c r="Q26" s="8">
        <f t="shared" si="1"/>
        <v>7335900</v>
      </c>
      <c r="R26" s="8">
        <f t="shared" si="2"/>
        <v>36679500</v>
      </c>
      <c r="S26" s="8"/>
      <c r="T26" s="9">
        <f t="shared" si="3"/>
        <v>0.32345238095238094</v>
      </c>
      <c r="U26" s="9">
        <f t="shared" si="4"/>
        <v>0.10062962962962962</v>
      </c>
      <c r="V26" s="9">
        <f t="shared" si="5"/>
        <v>1.54375</v>
      </c>
      <c r="W26" s="9">
        <f t="shared" si="6"/>
        <v>0.84906250000000005</v>
      </c>
      <c r="X26" s="9">
        <f t="shared" si="7"/>
        <v>0.46312500000000001</v>
      </c>
      <c r="Y26" s="10">
        <f t="shared" si="8"/>
        <v>0.21226562500000001</v>
      </c>
      <c r="Z26" s="11"/>
      <c r="AA26" s="11" t="s">
        <v>11</v>
      </c>
    </row>
    <row r="27" spans="1:27">
      <c r="A27" s="8">
        <v>4.0999999999999996</v>
      </c>
      <c r="B27" s="8" t="s">
        <v>62</v>
      </c>
      <c r="C27" s="8">
        <v>7038089</v>
      </c>
      <c r="D27" s="8" t="s">
        <v>63</v>
      </c>
      <c r="E27" s="8">
        <v>1</v>
      </c>
      <c r="F27" s="8" t="s">
        <v>45</v>
      </c>
      <c r="G27" s="8">
        <v>1</v>
      </c>
      <c r="H27" s="8"/>
      <c r="I27" s="8">
        <v>1</v>
      </c>
      <c r="J27" s="8"/>
      <c r="K27" s="8">
        <v>1</v>
      </c>
      <c r="L27" s="8"/>
      <c r="M27" s="8">
        <v>285</v>
      </c>
      <c r="N27" s="8">
        <v>213</v>
      </c>
      <c r="O27" s="8">
        <v>63</v>
      </c>
      <c r="P27" s="8">
        <v>2</v>
      </c>
      <c r="Q27" s="8">
        <f t="shared" si="1"/>
        <v>3824415</v>
      </c>
      <c r="R27" s="8">
        <f t="shared" si="2"/>
        <v>19122075</v>
      </c>
      <c r="S27" s="8"/>
      <c r="T27" s="9">
        <f t="shared" si="3"/>
        <v>0.168625</v>
      </c>
      <c r="U27" s="9">
        <f t="shared" si="4"/>
        <v>5.2461111111111111E-2</v>
      </c>
      <c r="V27" s="9">
        <f t="shared" si="5"/>
        <v>0.80480113636363637</v>
      </c>
      <c r="W27" s="9">
        <f t="shared" si="6"/>
        <v>0.44264062500000001</v>
      </c>
      <c r="X27" s="10">
        <f t="shared" si="7"/>
        <v>0.24144034090909092</v>
      </c>
      <c r="Y27" s="9">
        <f t="shared" si="8"/>
        <v>0.11066015625</v>
      </c>
      <c r="Z27" s="11"/>
      <c r="AA27" s="11" t="s">
        <v>10</v>
      </c>
    </row>
    <row r="28" spans="1:27">
      <c r="A28" s="8">
        <v>4.2</v>
      </c>
      <c r="B28" s="8" t="s">
        <v>64</v>
      </c>
      <c r="C28" s="8">
        <v>7041102</v>
      </c>
      <c r="D28" s="8" t="s">
        <v>65</v>
      </c>
      <c r="E28" s="8">
        <v>1</v>
      </c>
      <c r="F28" s="8" t="s">
        <v>45</v>
      </c>
      <c r="G28" s="8">
        <v>1</v>
      </c>
      <c r="H28" s="8"/>
      <c r="I28" s="8">
        <v>1</v>
      </c>
      <c r="J28" s="8"/>
      <c r="K28" s="8">
        <v>1</v>
      </c>
      <c r="L28" s="8"/>
      <c r="M28" s="8">
        <v>84</v>
      </c>
      <c r="N28" s="8">
        <v>34</v>
      </c>
      <c r="O28" s="8">
        <v>5</v>
      </c>
      <c r="P28" s="8">
        <v>2</v>
      </c>
      <c r="Q28" s="8">
        <f t="shared" si="1"/>
        <v>14280</v>
      </c>
      <c r="R28" s="8">
        <f t="shared" si="2"/>
        <v>71400</v>
      </c>
      <c r="S28" s="8"/>
      <c r="T28" s="9">
        <f t="shared" si="3"/>
        <v>6.2962962962962961E-4</v>
      </c>
      <c r="U28" s="9">
        <f t="shared" si="4"/>
        <v>1.9588477366255143E-4</v>
      </c>
      <c r="V28" s="10">
        <f t="shared" si="5"/>
        <v>3.0050505050505049E-3</v>
      </c>
      <c r="W28" s="9">
        <f t="shared" si="6"/>
        <v>1.6527777777777778E-3</v>
      </c>
      <c r="X28" s="9">
        <f t="shared" si="7"/>
        <v>9.0151515151515153E-4</v>
      </c>
      <c r="Y28" s="9">
        <f t="shared" si="8"/>
        <v>4.1319444444444444E-4</v>
      </c>
      <c r="Z28" s="11"/>
      <c r="AA28" s="11" t="s">
        <v>8</v>
      </c>
    </row>
    <row r="29" spans="1:27">
      <c r="A29" s="8">
        <v>4.3</v>
      </c>
      <c r="B29" s="8" t="s">
        <v>66</v>
      </c>
      <c r="C29" s="8">
        <v>2015817</v>
      </c>
      <c r="D29" s="8" t="s">
        <v>67</v>
      </c>
      <c r="E29" s="8">
        <v>2</v>
      </c>
      <c r="F29" s="8"/>
      <c r="G29" s="8"/>
      <c r="H29" s="8"/>
      <c r="I29" s="8">
        <v>1</v>
      </c>
      <c r="J29" s="8"/>
      <c r="K29" s="8">
        <v>1</v>
      </c>
      <c r="L29" s="8"/>
      <c r="M29" s="8"/>
      <c r="N29" s="8"/>
      <c r="O29" s="8"/>
      <c r="P29" s="8">
        <v>2</v>
      </c>
      <c r="Q29" s="8">
        <f t="shared" si="1"/>
        <v>0</v>
      </c>
      <c r="R29" s="8">
        <f t="shared" si="2"/>
        <v>0</v>
      </c>
      <c r="S29" s="8"/>
      <c r="T29" s="9">
        <f t="shared" si="3"/>
        <v>0</v>
      </c>
      <c r="U29" s="9">
        <f t="shared" si="4"/>
        <v>0</v>
      </c>
      <c r="V29" s="9">
        <f t="shared" si="5"/>
        <v>0</v>
      </c>
      <c r="W29" s="9">
        <f t="shared" si="6"/>
        <v>0</v>
      </c>
      <c r="X29" s="9">
        <f t="shared" si="7"/>
        <v>0</v>
      </c>
      <c r="Y29" s="9">
        <f t="shared" si="8"/>
        <v>0</v>
      </c>
      <c r="Z29" s="11"/>
      <c r="AA29" s="11"/>
    </row>
    <row r="30" spans="1:27">
      <c r="A30" s="8">
        <v>4.4000000000000004</v>
      </c>
      <c r="B30" s="8" t="s">
        <v>68</v>
      </c>
      <c r="C30" s="8">
        <v>7041103</v>
      </c>
      <c r="D30" s="8" t="s">
        <v>69</v>
      </c>
      <c r="E30" s="8">
        <v>1</v>
      </c>
      <c r="F30" s="8"/>
      <c r="G30" s="8">
        <v>1</v>
      </c>
      <c r="H30" s="8"/>
      <c r="I30" s="8">
        <v>1</v>
      </c>
      <c r="J30" s="8"/>
      <c r="K30" s="8">
        <v>1</v>
      </c>
      <c r="L30" s="8"/>
      <c r="M30" s="8">
        <v>50</v>
      </c>
      <c r="N30" s="8">
        <v>40</v>
      </c>
      <c r="O30" s="8">
        <v>16</v>
      </c>
      <c r="P30" s="8">
        <v>2</v>
      </c>
      <c r="Q30" s="8">
        <f t="shared" si="1"/>
        <v>32000</v>
      </c>
      <c r="R30" s="8">
        <f t="shared" si="2"/>
        <v>160000</v>
      </c>
      <c r="S30" s="8"/>
      <c r="T30" s="9">
        <f t="shared" si="3"/>
        <v>1.4109347442680777E-3</v>
      </c>
      <c r="U30" s="9">
        <f t="shared" si="4"/>
        <v>4.3895747599451303E-4</v>
      </c>
      <c r="V30" s="10">
        <f t="shared" si="5"/>
        <v>6.7340067340067337E-3</v>
      </c>
      <c r="W30" s="9">
        <f t="shared" si="6"/>
        <v>3.7037037037037038E-3</v>
      </c>
      <c r="X30" s="9">
        <f t="shared" si="7"/>
        <v>2.0202020202020202E-3</v>
      </c>
      <c r="Y30" s="9">
        <f t="shared" si="8"/>
        <v>9.2592592592592596E-4</v>
      </c>
      <c r="Z30" s="11"/>
      <c r="AA30" s="11" t="s">
        <v>8</v>
      </c>
    </row>
    <row r="31" spans="1:27">
      <c r="A31" s="7">
        <v>5</v>
      </c>
      <c r="B31" s="7" t="s">
        <v>70</v>
      </c>
      <c r="C31" s="8">
        <v>7038090</v>
      </c>
      <c r="D31" s="8" t="s">
        <v>71</v>
      </c>
      <c r="E31" s="8">
        <v>1</v>
      </c>
      <c r="F31" s="8" t="s">
        <v>34</v>
      </c>
      <c r="G31" s="8"/>
      <c r="H31" s="8"/>
      <c r="I31" s="8"/>
      <c r="J31" s="8"/>
      <c r="K31" s="8"/>
      <c r="L31" s="8">
        <v>1</v>
      </c>
      <c r="M31" s="8">
        <v>222</v>
      </c>
      <c r="N31" s="8">
        <v>236</v>
      </c>
      <c r="O31" s="8">
        <v>4</v>
      </c>
      <c r="P31" s="8">
        <v>2</v>
      </c>
      <c r="Q31" s="8">
        <f t="shared" si="1"/>
        <v>209568</v>
      </c>
      <c r="R31" s="8">
        <f t="shared" si="2"/>
        <v>1047840</v>
      </c>
      <c r="S31" s="8"/>
      <c r="T31" s="9">
        <f t="shared" si="3"/>
        <v>9.2402116402116406E-3</v>
      </c>
      <c r="U31" s="9">
        <f t="shared" si="4"/>
        <v>2.8747325102880658E-3</v>
      </c>
      <c r="V31" s="9">
        <f t="shared" si="5"/>
        <v>4.4101010101010099E-2</v>
      </c>
      <c r="W31" s="9">
        <f t="shared" si="6"/>
        <v>2.4255555555555555E-2</v>
      </c>
      <c r="X31" s="10">
        <f t="shared" si="7"/>
        <v>1.323030303030303E-2</v>
      </c>
      <c r="Y31" s="9">
        <f t="shared" si="8"/>
        <v>6.0638888888888886E-3</v>
      </c>
      <c r="Z31" s="11"/>
      <c r="AA31" s="11" t="s">
        <v>10</v>
      </c>
    </row>
    <row r="32" spans="1:27">
      <c r="A32" s="8"/>
      <c r="B32" s="8" t="s">
        <v>72</v>
      </c>
      <c r="C32" s="8">
        <v>7038091</v>
      </c>
      <c r="D32" s="8" t="s">
        <v>73</v>
      </c>
      <c r="E32" s="8">
        <v>1</v>
      </c>
      <c r="F32" s="8" t="s">
        <v>45</v>
      </c>
      <c r="G32" s="8">
        <v>1</v>
      </c>
      <c r="H32" s="8"/>
      <c r="I32" s="8">
        <v>1</v>
      </c>
      <c r="J32" s="8"/>
      <c r="K32" s="8">
        <v>1</v>
      </c>
      <c r="L32" s="8"/>
      <c r="M32" s="8">
        <v>223</v>
      </c>
      <c r="N32" s="8">
        <v>237</v>
      </c>
      <c r="O32" s="8">
        <v>5</v>
      </c>
      <c r="P32" s="8">
        <v>2</v>
      </c>
      <c r="Q32" s="8">
        <f t="shared" si="1"/>
        <v>264255</v>
      </c>
      <c r="R32" s="8">
        <f t="shared" si="2"/>
        <v>1321275</v>
      </c>
      <c r="S32" s="8"/>
      <c r="T32" s="9">
        <f t="shared" si="3"/>
        <v>1.1651455026455027E-2</v>
      </c>
      <c r="U32" s="9">
        <f t="shared" si="4"/>
        <v>3.6248971193415637E-3</v>
      </c>
      <c r="V32" s="9">
        <f t="shared" si="5"/>
        <v>5.5609217171717171E-2</v>
      </c>
      <c r="W32" s="9">
        <f t="shared" si="6"/>
        <v>3.0585069444444446E-2</v>
      </c>
      <c r="X32" s="10">
        <f t="shared" si="7"/>
        <v>1.668276515151515E-2</v>
      </c>
      <c r="Y32" s="9">
        <f t="shared" si="8"/>
        <v>7.6462673611111115E-3</v>
      </c>
      <c r="Z32" s="11"/>
      <c r="AA32" s="11" t="s">
        <v>10</v>
      </c>
    </row>
    <row r="33" spans="1:27">
      <c r="A33" s="8"/>
      <c r="B33" s="8"/>
      <c r="C33" s="8"/>
      <c r="D33" s="8" t="s">
        <v>40</v>
      </c>
      <c r="E33" s="8">
        <v>2</v>
      </c>
      <c r="F33" s="8" t="s">
        <v>34</v>
      </c>
      <c r="G33" s="8"/>
      <c r="H33" s="8"/>
      <c r="I33" s="8">
        <v>1</v>
      </c>
      <c r="J33" s="8"/>
      <c r="K33" s="8">
        <v>1</v>
      </c>
      <c r="L33" s="8"/>
      <c r="M33" s="8"/>
      <c r="N33" s="8"/>
      <c r="O33" s="8"/>
      <c r="P33" s="8">
        <v>2</v>
      </c>
      <c r="Q33" s="8">
        <f t="shared" si="1"/>
        <v>0</v>
      </c>
      <c r="R33" s="8">
        <f t="shared" si="2"/>
        <v>0</v>
      </c>
      <c r="S33" s="8"/>
      <c r="T33" s="9">
        <f t="shared" si="3"/>
        <v>0</v>
      </c>
      <c r="U33" s="9">
        <f t="shared" si="4"/>
        <v>0</v>
      </c>
      <c r="V33" s="10">
        <f t="shared" si="5"/>
        <v>0</v>
      </c>
      <c r="W33" s="9">
        <f t="shared" si="6"/>
        <v>0</v>
      </c>
      <c r="X33" s="9">
        <f t="shared" si="7"/>
        <v>0</v>
      </c>
      <c r="Y33" s="9">
        <f t="shared" si="8"/>
        <v>0</v>
      </c>
      <c r="Z33" s="11"/>
      <c r="AA33" s="11" t="s">
        <v>8</v>
      </c>
    </row>
    <row r="34" spans="1:27">
      <c r="A34" s="7">
        <v>6</v>
      </c>
      <c r="B34" s="7" t="s">
        <v>74</v>
      </c>
      <c r="C34" s="8">
        <v>7041105</v>
      </c>
      <c r="D34" s="8" t="s">
        <v>75</v>
      </c>
      <c r="E34" s="8">
        <v>1</v>
      </c>
      <c r="F34" s="8" t="s">
        <v>34</v>
      </c>
      <c r="G34" s="8"/>
      <c r="H34" s="8"/>
      <c r="I34" s="8"/>
      <c r="J34" s="8"/>
      <c r="K34" s="8"/>
      <c r="L34" s="8">
        <v>1</v>
      </c>
      <c r="M34" s="8">
        <v>122</v>
      </c>
      <c r="N34" s="8">
        <v>90</v>
      </c>
      <c r="O34" s="8">
        <v>92</v>
      </c>
      <c r="P34" s="8">
        <v>2</v>
      </c>
      <c r="Q34" s="8">
        <f t="shared" si="1"/>
        <v>1010160</v>
      </c>
      <c r="R34" s="8">
        <f t="shared" si="2"/>
        <v>5050800</v>
      </c>
      <c r="S34" s="8"/>
      <c r="T34" s="9">
        <f t="shared" si="3"/>
        <v>4.4539682539682539E-2</v>
      </c>
      <c r="U34" s="9">
        <f t="shared" si="4"/>
        <v>1.3856790123456791E-2</v>
      </c>
      <c r="V34" s="9">
        <f t="shared" si="5"/>
        <v>0.21257575757575758</v>
      </c>
      <c r="W34" s="10">
        <f t="shared" si="6"/>
        <v>0.11691666666666667</v>
      </c>
      <c r="X34" s="9">
        <f t="shared" si="7"/>
        <v>6.3772727272727273E-2</v>
      </c>
      <c r="Y34" s="9">
        <f t="shared" si="8"/>
        <v>2.9229166666666667E-2</v>
      </c>
      <c r="Z34" s="11"/>
      <c r="AA34" s="11" t="s">
        <v>9</v>
      </c>
    </row>
    <row r="35" spans="1:27">
      <c r="A35" s="8"/>
      <c r="B35" s="8" t="s">
        <v>76</v>
      </c>
      <c r="C35" s="8">
        <v>7041106</v>
      </c>
      <c r="D35" s="8" t="s">
        <v>77</v>
      </c>
      <c r="E35" s="8">
        <v>1</v>
      </c>
      <c r="F35" s="8" t="s">
        <v>45</v>
      </c>
      <c r="G35" s="8">
        <v>1</v>
      </c>
      <c r="H35" s="8"/>
      <c r="I35" s="8">
        <v>1</v>
      </c>
      <c r="J35" s="8"/>
      <c r="K35" s="8">
        <v>1</v>
      </c>
      <c r="L35" s="8"/>
      <c r="M35" s="8">
        <v>150</v>
      </c>
      <c r="N35" s="8">
        <v>90</v>
      </c>
      <c r="O35" s="8">
        <v>110</v>
      </c>
      <c r="P35" s="8">
        <v>2</v>
      </c>
      <c r="Q35" s="8">
        <f t="shared" si="1"/>
        <v>1485000</v>
      </c>
      <c r="R35" s="8">
        <f t="shared" si="2"/>
        <v>7425000</v>
      </c>
      <c r="S35" s="8"/>
      <c r="T35" s="9">
        <f t="shared" si="3"/>
        <v>6.5476190476190479E-2</v>
      </c>
      <c r="U35" s="9">
        <f t="shared" si="4"/>
        <v>2.0370370370370372E-2</v>
      </c>
      <c r="V35" s="9">
        <f t="shared" si="5"/>
        <v>0.3125</v>
      </c>
      <c r="W35" s="10">
        <f t="shared" si="6"/>
        <v>0.171875</v>
      </c>
      <c r="X35" s="9">
        <f t="shared" si="7"/>
        <v>9.375E-2</v>
      </c>
      <c r="Y35" s="9">
        <f t="shared" si="8"/>
        <v>4.296875E-2</v>
      </c>
      <c r="Z35" s="11"/>
      <c r="AA35" s="11" t="s">
        <v>9</v>
      </c>
    </row>
    <row r="36" spans="1:27">
      <c r="A36" s="8"/>
      <c r="B36" s="8" t="s">
        <v>78</v>
      </c>
      <c r="C36" s="8">
        <v>2019417</v>
      </c>
      <c r="D36" s="8" t="s">
        <v>79</v>
      </c>
      <c r="E36" s="8">
        <v>1</v>
      </c>
      <c r="F36" s="8" t="s">
        <v>34</v>
      </c>
      <c r="G36" s="8"/>
      <c r="H36" s="8"/>
      <c r="I36" s="8">
        <v>1</v>
      </c>
      <c r="J36" s="8"/>
      <c r="K36" s="8">
        <v>1</v>
      </c>
      <c r="L36" s="8"/>
      <c r="M36" s="8">
        <v>75</v>
      </c>
      <c r="N36" s="8">
        <v>35</v>
      </c>
      <c r="O36" s="8">
        <v>35</v>
      </c>
      <c r="P36" s="8"/>
      <c r="Q36" s="8">
        <f t="shared" si="1"/>
        <v>91875</v>
      </c>
      <c r="R36" s="8">
        <f t="shared" si="2"/>
        <v>459375</v>
      </c>
      <c r="S36" s="8"/>
      <c r="T36" s="9">
        <f t="shared" si="3"/>
        <v>4.0509259259259257E-3</v>
      </c>
      <c r="U36" s="9">
        <f t="shared" si="4"/>
        <v>1.2602880658436214E-3</v>
      </c>
      <c r="V36" s="10">
        <f t="shared" si="5"/>
        <v>1.9333964646464648E-2</v>
      </c>
      <c r="W36" s="9">
        <f t="shared" si="6"/>
        <v>1.0633680555555556E-2</v>
      </c>
      <c r="X36" s="9">
        <f t="shared" si="7"/>
        <v>5.800189393939394E-3</v>
      </c>
      <c r="Y36" s="9">
        <f t="shared" si="8"/>
        <v>2.658420138888889E-3</v>
      </c>
      <c r="Z36" s="11"/>
      <c r="AA36" s="11" t="s">
        <v>8</v>
      </c>
    </row>
    <row r="37" spans="1:27">
      <c r="A37" s="8"/>
      <c r="B37" s="8"/>
      <c r="C37" s="8"/>
      <c r="D37" s="8" t="s">
        <v>80</v>
      </c>
      <c r="E37" s="8">
        <v>2</v>
      </c>
      <c r="F37" s="8" t="s">
        <v>81</v>
      </c>
      <c r="G37" s="8"/>
      <c r="H37" s="8"/>
      <c r="I37" s="8">
        <v>1</v>
      </c>
      <c r="J37" s="8"/>
      <c r="K37" s="8">
        <v>1</v>
      </c>
      <c r="L37" s="8"/>
      <c r="M37" s="8"/>
      <c r="N37" s="8"/>
      <c r="O37" s="8"/>
      <c r="P37" s="8"/>
      <c r="Q37" s="8">
        <f t="shared" si="1"/>
        <v>0</v>
      </c>
      <c r="R37" s="8">
        <f t="shared" si="2"/>
        <v>0</v>
      </c>
      <c r="S37" s="8"/>
      <c r="T37" s="9">
        <f t="shared" si="3"/>
        <v>0</v>
      </c>
      <c r="U37" s="9">
        <f t="shared" si="4"/>
        <v>0</v>
      </c>
      <c r="V37" s="10">
        <f t="shared" si="5"/>
        <v>0</v>
      </c>
      <c r="W37" s="9">
        <f t="shared" si="6"/>
        <v>0</v>
      </c>
      <c r="X37" s="9">
        <f t="shared" si="7"/>
        <v>0</v>
      </c>
      <c r="Y37" s="9">
        <f t="shared" si="8"/>
        <v>0</v>
      </c>
      <c r="Z37" s="11"/>
      <c r="AA37" s="11" t="s">
        <v>8</v>
      </c>
    </row>
    <row r="38" spans="1:27">
      <c r="A38" s="7">
        <v>7</v>
      </c>
      <c r="B38" s="7" t="s">
        <v>82</v>
      </c>
      <c r="C38" s="8">
        <v>7038273</v>
      </c>
      <c r="D38" s="8" t="s">
        <v>83</v>
      </c>
      <c r="E38" s="8">
        <v>1</v>
      </c>
      <c r="F38" s="8" t="s">
        <v>34</v>
      </c>
      <c r="G38" s="8"/>
      <c r="H38" s="8"/>
      <c r="I38" s="8"/>
      <c r="J38" s="8"/>
      <c r="K38" s="8"/>
      <c r="L38" s="8">
        <v>1</v>
      </c>
      <c r="M38" s="8"/>
      <c r="N38" s="8"/>
      <c r="O38" s="8"/>
      <c r="P38" s="8"/>
      <c r="Q38" s="8">
        <f t="shared" si="1"/>
        <v>0</v>
      </c>
      <c r="R38" s="8">
        <f t="shared" si="2"/>
        <v>0</v>
      </c>
      <c r="S38" s="8"/>
      <c r="T38" s="9">
        <f t="shared" si="3"/>
        <v>0</v>
      </c>
      <c r="U38" s="9">
        <f t="shared" si="4"/>
        <v>0</v>
      </c>
      <c r="V38" s="9">
        <f t="shared" si="5"/>
        <v>0</v>
      </c>
      <c r="W38" s="9">
        <f t="shared" si="6"/>
        <v>0</v>
      </c>
      <c r="X38" s="9">
        <f t="shared" si="7"/>
        <v>0</v>
      </c>
      <c r="Y38" s="9">
        <f t="shared" si="8"/>
        <v>0</v>
      </c>
      <c r="Z38" s="11"/>
      <c r="AA38" s="11"/>
    </row>
    <row r="39" spans="1:27">
      <c r="A39" s="8"/>
      <c r="B39" s="8" t="s">
        <v>84</v>
      </c>
      <c r="C39" s="8">
        <v>7038274</v>
      </c>
      <c r="D39" s="8" t="s">
        <v>85</v>
      </c>
      <c r="E39" s="8">
        <v>1</v>
      </c>
      <c r="F39" s="8" t="s">
        <v>86</v>
      </c>
      <c r="G39" s="8">
        <v>1</v>
      </c>
      <c r="H39" s="8"/>
      <c r="I39" s="8">
        <v>1</v>
      </c>
      <c r="J39" s="8"/>
      <c r="K39" s="8">
        <v>1</v>
      </c>
      <c r="L39" s="8"/>
      <c r="M39" s="8"/>
      <c r="N39" s="8"/>
      <c r="O39" s="8"/>
      <c r="P39" s="8"/>
      <c r="Q39" s="8">
        <f t="shared" si="1"/>
        <v>0</v>
      </c>
      <c r="R39" s="8">
        <f t="shared" si="2"/>
        <v>0</v>
      </c>
      <c r="S39" s="8"/>
      <c r="T39" s="9">
        <f t="shared" si="3"/>
        <v>0</v>
      </c>
      <c r="U39" s="9">
        <f t="shared" si="4"/>
        <v>0</v>
      </c>
      <c r="V39" s="9">
        <f t="shared" si="5"/>
        <v>0</v>
      </c>
      <c r="W39" s="9">
        <f t="shared" si="6"/>
        <v>0</v>
      </c>
      <c r="X39" s="9">
        <f t="shared" si="7"/>
        <v>0</v>
      </c>
      <c r="Y39" s="9">
        <f t="shared" si="8"/>
        <v>0</v>
      </c>
      <c r="Z39" s="11"/>
      <c r="AA39" s="11"/>
    </row>
    <row r="40" spans="1:27">
      <c r="A40" s="8"/>
      <c r="B40" s="8" t="s">
        <v>87</v>
      </c>
      <c r="C40" s="8">
        <v>7038275</v>
      </c>
      <c r="D40" s="8" t="s">
        <v>88</v>
      </c>
      <c r="E40" s="8">
        <v>2</v>
      </c>
      <c r="F40" s="8" t="s">
        <v>89</v>
      </c>
      <c r="G40" s="8">
        <v>1</v>
      </c>
      <c r="H40" s="8"/>
      <c r="I40" s="8">
        <v>1</v>
      </c>
      <c r="J40" s="8"/>
      <c r="K40" s="8">
        <v>1</v>
      </c>
      <c r="L40" s="8"/>
      <c r="M40" s="8"/>
      <c r="N40" s="8"/>
      <c r="O40" s="8"/>
      <c r="P40" s="8"/>
      <c r="Q40" s="8">
        <f t="shared" si="1"/>
        <v>0</v>
      </c>
      <c r="R40" s="8">
        <f t="shared" si="2"/>
        <v>0</v>
      </c>
      <c r="S40" s="8"/>
      <c r="T40" s="9">
        <f t="shared" si="3"/>
        <v>0</v>
      </c>
      <c r="U40" s="9">
        <f t="shared" si="4"/>
        <v>0</v>
      </c>
      <c r="V40" s="9">
        <f t="shared" si="5"/>
        <v>0</v>
      </c>
      <c r="W40" s="9">
        <f t="shared" si="6"/>
        <v>0</v>
      </c>
      <c r="X40" s="9">
        <f t="shared" si="7"/>
        <v>0</v>
      </c>
      <c r="Y40" s="9">
        <f t="shared" si="8"/>
        <v>0</v>
      </c>
      <c r="Z40" s="11"/>
      <c r="AA40" s="11"/>
    </row>
    <row r="41" spans="1:27">
      <c r="A41" s="7">
        <v>8</v>
      </c>
      <c r="B41" s="7" t="s">
        <v>90</v>
      </c>
      <c r="C41" s="8">
        <v>7038276</v>
      </c>
      <c r="D41" s="8" t="s">
        <v>91</v>
      </c>
      <c r="E41" s="8">
        <v>1</v>
      </c>
      <c r="F41" s="8" t="s">
        <v>34</v>
      </c>
      <c r="G41" s="8"/>
      <c r="H41" s="8"/>
      <c r="I41" s="8"/>
      <c r="J41" s="8"/>
      <c r="K41" s="8"/>
      <c r="L41" s="8">
        <v>1</v>
      </c>
      <c r="M41" s="8">
        <v>221</v>
      </c>
      <c r="N41" s="8">
        <v>116</v>
      </c>
      <c r="O41" s="8">
        <v>149</v>
      </c>
      <c r="P41" s="8"/>
      <c r="Q41" s="8">
        <f t="shared" si="1"/>
        <v>3819764</v>
      </c>
      <c r="R41" s="8">
        <f t="shared" si="2"/>
        <v>19098820</v>
      </c>
      <c r="S41" s="8"/>
      <c r="T41" s="9">
        <f t="shared" si="3"/>
        <v>0.16841992945326278</v>
      </c>
      <c r="U41" s="9">
        <f t="shared" si="4"/>
        <v>5.2397311385459534E-2</v>
      </c>
      <c r="V41" s="9">
        <f t="shared" si="5"/>
        <v>0.80382239057239058</v>
      </c>
      <c r="W41" s="9">
        <f t="shared" si="6"/>
        <v>0.44210231481481482</v>
      </c>
      <c r="X41" s="10">
        <f t="shared" si="7"/>
        <v>0.24114671717171718</v>
      </c>
      <c r="Y41" s="9">
        <f t="shared" si="8"/>
        <v>0.11052557870370371</v>
      </c>
      <c r="Z41" s="11"/>
      <c r="AA41" s="11" t="s">
        <v>10</v>
      </c>
    </row>
    <row r="42" spans="1:27">
      <c r="A42" s="8"/>
      <c r="B42" s="8" t="s">
        <v>92</v>
      </c>
      <c r="C42" s="8">
        <v>7038277</v>
      </c>
      <c r="D42" s="8" t="s">
        <v>93</v>
      </c>
      <c r="E42" s="8">
        <v>1</v>
      </c>
      <c r="F42" s="8" t="s">
        <v>94</v>
      </c>
      <c r="G42" s="8">
        <v>1</v>
      </c>
      <c r="H42" s="8"/>
      <c r="I42" s="8">
        <v>1</v>
      </c>
      <c r="J42" s="8"/>
      <c r="K42" s="8">
        <v>1</v>
      </c>
      <c r="L42" s="8"/>
      <c r="M42" s="8">
        <v>221</v>
      </c>
      <c r="N42" s="8">
        <v>242</v>
      </c>
      <c r="O42" s="8">
        <v>149</v>
      </c>
      <c r="P42" s="8"/>
      <c r="Q42" s="8">
        <f t="shared" si="1"/>
        <v>7968818</v>
      </c>
      <c r="R42" s="8">
        <f t="shared" si="2"/>
        <v>39844090</v>
      </c>
      <c r="S42" s="8"/>
      <c r="T42" s="9">
        <f t="shared" si="3"/>
        <v>0.35135881834215166</v>
      </c>
      <c r="U42" s="9">
        <f t="shared" si="4"/>
        <v>0.10931163237311385</v>
      </c>
      <c r="V42" s="9">
        <f t="shared" si="5"/>
        <v>1.6769398148148149</v>
      </c>
      <c r="W42" s="9">
        <f t="shared" si="6"/>
        <v>0.9223168981481481</v>
      </c>
      <c r="X42" s="10">
        <f t="shared" si="7"/>
        <v>0.50308194444444443</v>
      </c>
      <c r="Y42" s="9">
        <f t="shared" si="8"/>
        <v>0.23057922453703703</v>
      </c>
      <c r="Z42" s="11"/>
      <c r="AA42" s="11" t="s">
        <v>10</v>
      </c>
    </row>
    <row r="43" spans="1:27">
      <c r="A43" s="8"/>
      <c r="B43" s="8" t="s">
        <v>95</v>
      </c>
      <c r="C43" s="8">
        <v>7038278</v>
      </c>
      <c r="D43" s="8" t="s">
        <v>96</v>
      </c>
      <c r="E43" s="8">
        <v>1</v>
      </c>
      <c r="F43" s="8" t="s">
        <v>37</v>
      </c>
      <c r="G43" s="8">
        <v>1</v>
      </c>
      <c r="H43" s="8"/>
      <c r="I43" s="8">
        <v>1</v>
      </c>
      <c r="J43" s="8"/>
      <c r="K43" s="8">
        <v>1</v>
      </c>
      <c r="L43" s="8"/>
      <c r="M43" s="8">
        <v>221</v>
      </c>
      <c r="N43" s="8">
        <v>242</v>
      </c>
      <c r="O43" s="8">
        <v>149</v>
      </c>
      <c r="P43" s="8"/>
      <c r="Q43" s="8">
        <f t="shared" si="1"/>
        <v>7968818</v>
      </c>
      <c r="R43" s="8">
        <f t="shared" si="2"/>
        <v>39844090</v>
      </c>
      <c r="S43" s="8"/>
      <c r="T43" s="9">
        <f t="shared" si="3"/>
        <v>0.35135881834215166</v>
      </c>
      <c r="U43" s="9">
        <f t="shared" si="4"/>
        <v>0.10931163237311385</v>
      </c>
      <c r="V43" s="9">
        <f t="shared" si="5"/>
        <v>1.6769398148148149</v>
      </c>
      <c r="W43" s="9">
        <f t="shared" si="6"/>
        <v>0.9223168981481481</v>
      </c>
      <c r="X43" s="10">
        <f t="shared" si="7"/>
        <v>0.50308194444444443</v>
      </c>
      <c r="Y43" s="9">
        <f t="shared" si="8"/>
        <v>0.23057922453703703</v>
      </c>
      <c r="Z43" s="11"/>
      <c r="AA43" s="11" t="s">
        <v>10</v>
      </c>
    </row>
    <row r="44" spans="1:27">
      <c r="A44" s="7">
        <v>9</v>
      </c>
      <c r="B44" s="7" t="s">
        <v>97</v>
      </c>
      <c r="C44" s="8">
        <v>7038279</v>
      </c>
      <c r="D44" s="8" t="s">
        <v>98</v>
      </c>
      <c r="E44" s="8">
        <v>1</v>
      </c>
      <c r="F44" s="8" t="s">
        <v>34</v>
      </c>
      <c r="G44" s="8"/>
      <c r="H44" s="8"/>
      <c r="I44" s="8"/>
      <c r="J44" s="8"/>
      <c r="K44" s="8"/>
      <c r="L44" s="8">
        <v>1</v>
      </c>
      <c r="M44" s="8">
        <v>221</v>
      </c>
      <c r="N44" s="8">
        <v>116</v>
      </c>
      <c r="O44" s="8">
        <v>149</v>
      </c>
      <c r="P44" s="8"/>
      <c r="Q44" s="8">
        <f t="shared" si="1"/>
        <v>3819764</v>
      </c>
      <c r="R44" s="8">
        <f t="shared" si="2"/>
        <v>19098820</v>
      </c>
      <c r="S44" s="8"/>
      <c r="T44" s="9">
        <f t="shared" si="3"/>
        <v>0.16841992945326278</v>
      </c>
      <c r="U44" s="9">
        <f t="shared" si="4"/>
        <v>5.2397311385459534E-2</v>
      </c>
      <c r="V44" s="9">
        <f t="shared" si="5"/>
        <v>0.80382239057239058</v>
      </c>
      <c r="W44" s="9">
        <f t="shared" si="6"/>
        <v>0.44210231481481482</v>
      </c>
      <c r="X44" s="10">
        <f t="shared" si="7"/>
        <v>0.24114671717171718</v>
      </c>
      <c r="Y44" s="9">
        <f t="shared" si="8"/>
        <v>0.11052557870370371</v>
      </c>
      <c r="Z44" s="11"/>
      <c r="AA44" s="11" t="s">
        <v>10</v>
      </c>
    </row>
    <row r="45" spans="1:27">
      <c r="A45" s="8"/>
      <c r="B45" s="8" t="s">
        <v>99</v>
      </c>
      <c r="C45" s="8">
        <v>7038280</v>
      </c>
      <c r="D45" s="8" t="s">
        <v>100</v>
      </c>
      <c r="E45" s="8">
        <v>1</v>
      </c>
      <c r="F45" s="8" t="s">
        <v>94</v>
      </c>
      <c r="G45" s="8">
        <v>1</v>
      </c>
      <c r="H45" s="8"/>
      <c r="I45" s="8">
        <v>1</v>
      </c>
      <c r="J45" s="8"/>
      <c r="K45" s="8">
        <v>1</v>
      </c>
      <c r="L45" s="8"/>
      <c r="M45" s="8">
        <v>221</v>
      </c>
      <c r="N45" s="8">
        <v>242</v>
      </c>
      <c r="O45" s="8">
        <v>149</v>
      </c>
      <c r="P45" s="8"/>
      <c r="Q45" s="8">
        <f t="shared" si="1"/>
        <v>7968818</v>
      </c>
      <c r="R45" s="8">
        <f t="shared" si="2"/>
        <v>39844090</v>
      </c>
      <c r="S45" s="8"/>
      <c r="T45" s="9">
        <f t="shared" si="3"/>
        <v>0.35135881834215166</v>
      </c>
      <c r="U45" s="9">
        <f t="shared" si="4"/>
        <v>0.10931163237311385</v>
      </c>
      <c r="V45" s="9">
        <f t="shared" si="5"/>
        <v>1.6769398148148149</v>
      </c>
      <c r="W45" s="9">
        <f t="shared" si="6"/>
        <v>0.9223168981481481</v>
      </c>
      <c r="X45" s="10">
        <f t="shared" si="7"/>
        <v>0.50308194444444443</v>
      </c>
      <c r="Y45" s="9">
        <f t="shared" si="8"/>
        <v>0.23057922453703703</v>
      </c>
      <c r="Z45" s="11"/>
      <c r="AA45" s="11" t="s">
        <v>10</v>
      </c>
    </row>
    <row r="46" spans="1:27">
      <c r="A46" s="8"/>
      <c r="B46" s="8" t="s">
        <v>101</v>
      </c>
      <c r="C46" s="8">
        <v>7038281</v>
      </c>
      <c r="D46" s="8" t="s">
        <v>102</v>
      </c>
      <c r="E46" s="8">
        <v>1</v>
      </c>
      <c r="F46" s="8" t="s">
        <v>37</v>
      </c>
      <c r="G46" s="8">
        <v>1</v>
      </c>
      <c r="H46" s="8"/>
      <c r="I46" s="8">
        <v>1</v>
      </c>
      <c r="J46" s="8"/>
      <c r="K46" s="8">
        <v>1</v>
      </c>
      <c r="L46" s="8"/>
      <c r="M46" s="8">
        <v>221</v>
      </c>
      <c r="N46" s="8">
        <v>242</v>
      </c>
      <c r="O46" s="8">
        <v>149</v>
      </c>
      <c r="P46" s="8"/>
      <c r="Q46" s="8">
        <f t="shared" si="1"/>
        <v>7968818</v>
      </c>
      <c r="R46" s="8">
        <f t="shared" si="2"/>
        <v>39844090</v>
      </c>
      <c r="S46" s="8"/>
      <c r="T46" s="9">
        <f t="shared" si="3"/>
        <v>0.35135881834215166</v>
      </c>
      <c r="U46" s="9">
        <f t="shared" si="4"/>
        <v>0.10931163237311385</v>
      </c>
      <c r="V46" s="9">
        <f t="shared" si="5"/>
        <v>1.6769398148148149</v>
      </c>
      <c r="W46" s="9">
        <f t="shared" si="6"/>
        <v>0.9223168981481481</v>
      </c>
      <c r="X46" s="9">
        <f t="shared" si="7"/>
        <v>0.50308194444444443</v>
      </c>
      <c r="Y46" s="10">
        <f t="shared" si="8"/>
        <v>0.23057922453703703</v>
      </c>
      <c r="Z46" s="11"/>
      <c r="AA46" s="11" t="s">
        <v>11</v>
      </c>
    </row>
    <row r="47" spans="1:27">
      <c r="A47" s="7">
        <v>10</v>
      </c>
      <c r="B47" s="7" t="s">
        <v>103</v>
      </c>
      <c r="C47" s="8">
        <v>7038231</v>
      </c>
      <c r="D47" s="8" t="s">
        <v>104</v>
      </c>
      <c r="E47" s="8">
        <v>1</v>
      </c>
      <c r="F47" s="8" t="s">
        <v>34</v>
      </c>
      <c r="G47" s="8"/>
      <c r="H47" s="8"/>
      <c r="I47" s="8"/>
      <c r="J47" s="8"/>
      <c r="K47" s="8"/>
      <c r="L47" s="8">
        <v>1</v>
      </c>
      <c r="M47" s="8">
        <v>650</v>
      </c>
      <c r="N47" s="8">
        <v>643</v>
      </c>
      <c r="O47" s="8">
        <v>26</v>
      </c>
      <c r="P47" s="8"/>
      <c r="Q47" s="8">
        <f t="shared" si="1"/>
        <v>10866700</v>
      </c>
      <c r="R47" s="8">
        <f t="shared" si="2"/>
        <v>54333500</v>
      </c>
      <c r="S47" s="8"/>
      <c r="T47" s="10">
        <f t="shared" si="3"/>
        <v>0.47913139329805998</v>
      </c>
      <c r="U47" s="9">
        <f t="shared" si="4"/>
        <v>0.14906310013717422</v>
      </c>
      <c r="V47" s="9">
        <f t="shared" si="5"/>
        <v>2.2867634680134681</v>
      </c>
      <c r="W47" s="9">
        <f t="shared" si="6"/>
        <v>1.2577199074074075</v>
      </c>
      <c r="X47" s="9">
        <f t="shared" si="7"/>
        <v>0.68602904040404045</v>
      </c>
      <c r="Y47" s="9">
        <f t="shared" si="8"/>
        <v>0.31442997685185187</v>
      </c>
      <c r="Z47" s="11"/>
      <c r="AA47" s="11" t="s">
        <v>5</v>
      </c>
    </row>
    <row r="48" spans="1:27">
      <c r="A48" s="8"/>
      <c r="B48" s="8" t="s">
        <v>105</v>
      </c>
      <c r="C48" s="8">
        <v>7038232</v>
      </c>
      <c r="D48" s="8" t="s">
        <v>106</v>
      </c>
      <c r="E48" s="8">
        <v>1</v>
      </c>
      <c r="F48" s="8" t="s">
        <v>89</v>
      </c>
      <c r="G48" s="8">
        <v>1</v>
      </c>
      <c r="H48" s="8"/>
      <c r="I48" s="8">
        <v>1</v>
      </c>
      <c r="J48" s="8"/>
      <c r="K48" s="8">
        <v>1</v>
      </c>
      <c r="L48" s="8"/>
      <c r="M48" s="8">
        <v>650</v>
      </c>
      <c r="N48" s="8">
        <v>643</v>
      </c>
      <c r="O48" s="8">
        <v>6</v>
      </c>
      <c r="P48" s="8"/>
      <c r="Q48" s="8">
        <f t="shared" si="1"/>
        <v>2507700</v>
      </c>
      <c r="R48" s="8">
        <f t="shared" si="2"/>
        <v>12538500</v>
      </c>
      <c r="S48" s="8"/>
      <c r="T48" s="10">
        <f t="shared" si="3"/>
        <v>0.11056878306878307</v>
      </c>
      <c r="U48" s="9">
        <f t="shared" si="4"/>
        <v>3.4399176954732512E-2</v>
      </c>
      <c r="V48" s="9">
        <f t="shared" si="5"/>
        <v>0.5277146464646465</v>
      </c>
      <c r="W48" s="9">
        <f t="shared" si="6"/>
        <v>0.29024305555555557</v>
      </c>
      <c r="X48" s="9">
        <f t="shared" si="7"/>
        <v>0.15831439393939395</v>
      </c>
      <c r="Y48" s="9">
        <f t="shared" si="8"/>
        <v>7.2560763888888893E-2</v>
      </c>
      <c r="Z48" s="11"/>
      <c r="AA48" s="11" t="s">
        <v>5</v>
      </c>
    </row>
    <row r="49" spans="1:27">
      <c r="A49" s="8"/>
      <c r="B49" s="8" t="s">
        <v>107</v>
      </c>
      <c r="C49" s="8">
        <v>2000277</v>
      </c>
      <c r="D49" s="8" t="s">
        <v>108</v>
      </c>
      <c r="E49" s="8">
        <v>4</v>
      </c>
      <c r="F49" s="8" t="s">
        <v>34</v>
      </c>
      <c r="G49" s="8"/>
      <c r="H49" s="8"/>
      <c r="I49" s="8">
        <v>1</v>
      </c>
      <c r="J49" s="8"/>
      <c r="K49" s="8">
        <v>1</v>
      </c>
      <c r="L49" s="8"/>
      <c r="M49" s="8"/>
      <c r="N49" s="8"/>
      <c r="O49" s="8"/>
      <c r="P49" s="8"/>
      <c r="Q49" s="8">
        <f t="shared" si="1"/>
        <v>0</v>
      </c>
      <c r="R49" s="8">
        <f t="shared" si="2"/>
        <v>0</v>
      </c>
      <c r="S49" s="8"/>
      <c r="T49" s="9">
        <f t="shared" si="3"/>
        <v>0</v>
      </c>
      <c r="U49" s="9">
        <f t="shared" si="4"/>
        <v>0</v>
      </c>
      <c r="V49" s="9">
        <f t="shared" si="5"/>
        <v>0</v>
      </c>
      <c r="W49" s="9">
        <f t="shared" si="6"/>
        <v>0</v>
      </c>
      <c r="X49" s="9">
        <f t="shared" si="7"/>
        <v>0</v>
      </c>
      <c r="Y49" s="9">
        <f t="shared" si="8"/>
        <v>0</v>
      </c>
      <c r="Z49" s="11"/>
      <c r="AA49" s="11"/>
    </row>
    <row r="50" spans="1:27">
      <c r="A50" s="8"/>
      <c r="B50" s="8" t="s">
        <v>109</v>
      </c>
      <c r="C50" s="8">
        <v>7041107</v>
      </c>
      <c r="D50" s="8" t="s">
        <v>110</v>
      </c>
      <c r="E50" s="8">
        <v>4</v>
      </c>
      <c r="F50" s="8" t="s">
        <v>94</v>
      </c>
      <c r="G50" s="8">
        <v>1</v>
      </c>
      <c r="H50" s="8"/>
      <c r="I50" s="8">
        <v>1</v>
      </c>
      <c r="J50" s="8"/>
      <c r="K50" s="8">
        <v>1</v>
      </c>
      <c r="L50" s="8"/>
      <c r="M50" s="8">
        <v>191</v>
      </c>
      <c r="N50" s="8">
        <v>20</v>
      </c>
      <c r="O50" s="8">
        <v>12</v>
      </c>
      <c r="P50" s="8"/>
      <c r="Q50" s="8">
        <f t="shared" si="1"/>
        <v>183360</v>
      </c>
      <c r="R50" s="8">
        <f t="shared" si="2"/>
        <v>916800</v>
      </c>
      <c r="S50" s="8"/>
      <c r="T50" s="9">
        <f t="shared" si="3"/>
        <v>8.0846560846560851E-3</v>
      </c>
      <c r="U50" s="9">
        <f t="shared" si="4"/>
        <v>2.5152263374485597E-3</v>
      </c>
      <c r="V50" s="10">
        <f t="shared" si="5"/>
        <v>3.8585858585858585E-2</v>
      </c>
      <c r="W50" s="9">
        <f t="shared" si="6"/>
        <v>2.1222222222222222E-2</v>
      </c>
      <c r="X50" s="9">
        <f t="shared" si="7"/>
        <v>1.1575757575757576E-2</v>
      </c>
      <c r="Y50" s="9">
        <f t="shared" si="8"/>
        <v>5.3055555555555555E-3</v>
      </c>
      <c r="Z50" s="11"/>
      <c r="AA50" s="11" t="s">
        <v>8</v>
      </c>
    </row>
    <row r="51" spans="1:27">
      <c r="A51" s="8"/>
      <c r="B51" s="8" t="s">
        <v>111</v>
      </c>
      <c r="C51" s="8">
        <v>7038234</v>
      </c>
      <c r="D51" s="8" t="s">
        <v>112</v>
      </c>
      <c r="E51" s="8">
        <v>3</v>
      </c>
      <c r="F51" s="8" t="s">
        <v>34</v>
      </c>
      <c r="G51" s="8"/>
      <c r="H51" s="8"/>
      <c r="I51" s="8">
        <v>1</v>
      </c>
      <c r="J51" s="8"/>
      <c r="K51" s="8">
        <v>1</v>
      </c>
      <c r="L51" s="8"/>
      <c r="M51" s="8">
        <v>62</v>
      </c>
      <c r="N51" s="8">
        <v>20</v>
      </c>
      <c r="O51" s="8">
        <v>12</v>
      </c>
      <c r="P51" s="8"/>
      <c r="Q51" s="8">
        <f t="shared" si="1"/>
        <v>44640</v>
      </c>
      <c r="R51" s="8">
        <f t="shared" si="2"/>
        <v>223200</v>
      </c>
      <c r="S51" s="8"/>
      <c r="T51" s="9">
        <f t="shared" si="3"/>
        <v>1.9682539682539684E-3</v>
      </c>
      <c r="U51" s="9">
        <f t="shared" si="4"/>
        <v>6.1234567901234573E-4</v>
      </c>
      <c r="V51" s="10">
        <f t="shared" si="5"/>
        <v>9.3939393939393937E-3</v>
      </c>
      <c r="W51" s="9">
        <f t="shared" si="6"/>
        <v>5.1666666666666666E-3</v>
      </c>
      <c r="X51" s="9">
        <f t="shared" si="7"/>
        <v>2.8181818181818182E-3</v>
      </c>
      <c r="Y51" s="9">
        <f t="shared" si="8"/>
        <v>1.2916666666666667E-3</v>
      </c>
      <c r="Z51" s="11"/>
      <c r="AA51" s="11" t="s">
        <v>8</v>
      </c>
    </row>
    <row r="52" spans="1:27">
      <c r="A52" s="8"/>
      <c r="B52" s="8"/>
      <c r="C52" s="8"/>
      <c r="D52" s="8" t="s">
        <v>113</v>
      </c>
      <c r="E52" s="8">
        <v>3</v>
      </c>
      <c r="F52" s="8" t="s">
        <v>114</v>
      </c>
      <c r="G52" s="8"/>
      <c r="H52" s="8"/>
      <c r="I52" s="8">
        <v>1</v>
      </c>
      <c r="J52" s="8"/>
      <c r="K52" s="8">
        <v>1</v>
      </c>
      <c r="L52" s="8"/>
      <c r="M52" s="8"/>
      <c r="N52" s="8"/>
      <c r="O52" s="8"/>
      <c r="P52" s="8"/>
      <c r="Q52" s="8">
        <f t="shared" si="1"/>
        <v>0</v>
      </c>
      <c r="R52" s="8">
        <f t="shared" si="2"/>
        <v>0</v>
      </c>
      <c r="S52" s="8"/>
      <c r="T52" s="9">
        <f t="shared" si="3"/>
        <v>0</v>
      </c>
      <c r="U52" s="9">
        <f t="shared" si="4"/>
        <v>0</v>
      </c>
      <c r="V52" s="10">
        <f t="shared" si="5"/>
        <v>0</v>
      </c>
      <c r="W52" s="9">
        <f t="shared" si="6"/>
        <v>0</v>
      </c>
      <c r="X52" s="9">
        <f t="shared" si="7"/>
        <v>0</v>
      </c>
      <c r="Y52" s="9">
        <f t="shared" si="8"/>
        <v>0</v>
      </c>
      <c r="Z52" s="11"/>
      <c r="AA52" s="11" t="s">
        <v>8</v>
      </c>
    </row>
    <row r="53" spans="1:27">
      <c r="A53" s="7">
        <v>11</v>
      </c>
      <c r="B53" s="7" t="s">
        <v>115</v>
      </c>
      <c r="C53" s="8">
        <v>7038238</v>
      </c>
      <c r="D53" s="8" t="s">
        <v>116</v>
      </c>
      <c r="E53" s="8">
        <v>1</v>
      </c>
      <c r="F53" s="8" t="s">
        <v>34</v>
      </c>
      <c r="G53" s="8"/>
      <c r="H53" s="8"/>
      <c r="I53" s="8"/>
      <c r="J53" s="8"/>
      <c r="K53" s="8"/>
      <c r="L53" s="8">
        <v>1</v>
      </c>
      <c r="M53" s="8">
        <v>402</v>
      </c>
      <c r="N53" s="8">
        <v>96</v>
      </c>
      <c r="O53" s="8">
        <v>96</v>
      </c>
      <c r="P53" s="8"/>
      <c r="Q53" s="8">
        <f t="shared" si="1"/>
        <v>3704832</v>
      </c>
      <c r="R53" s="8">
        <f t="shared" si="2"/>
        <v>18524160</v>
      </c>
      <c r="S53" s="8"/>
      <c r="T53" s="9">
        <f t="shared" si="3"/>
        <v>0.16335238095238094</v>
      </c>
      <c r="U53" s="9">
        <f t="shared" si="4"/>
        <v>5.0820740740740743E-2</v>
      </c>
      <c r="V53" s="9">
        <f t="shared" si="5"/>
        <v>0.77963636363636368</v>
      </c>
      <c r="W53" s="9">
        <f t="shared" si="6"/>
        <v>0.42880000000000001</v>
      </c>
      <c r="X53" s="9">
        <f t="shared" si="7"/>
        <v>0.23389090909090909</v>
      </c>
      <c r="Y53" s="10">
        <f t="shared" si="8"/>
        <v>0.1072</v>
      </c>
      <c r="Z53" s="11"/>
      <c r="AA53" s="11" t="s">
        <v>11</v>
      </c>
    </row>
    <row r="54" spans="1:27">
      <c r="A54" s="8"/>
      <c r="B54" s="8" t="s">
        <v>117</v>
      </c>
      <c r="C54" s="8">
        <v>2017948</v>
      </c>
      <c r="D54" s="8" t="s">
        <v>118</v>
      </c>
      <c r="E54" s="8">
        <v>1</v>
      </c>
      <c r="F54" s="8" t="s">
        <v>119</v>
      </c>
      <c r="G54" s="8"/>
      <c r="H54" s="8"/>
      <c r="I54" s="8">
        <v>1</v>
      </c>
      <c r="J54" s="8"/>
      <c r="K54" s="8">
        <v>1</v>
      </c>
      <c r="L54" s="8"/>
      <c r="M54" s="8">
        <v>350</v>
      </c>
      <c r="N54" s="8">
        <v>32</v>
      </c>
      <c r="O54" s="8">
        <v>32</v>
      </c>
      <c r="P54" s="8"/>
      <c r="Q54" s="8">
        <f t="shared" si="1"/>
        <v>358400</v>
      </c>
      <c r="R54" s="8">
        <f t="shared" si="2"/>
        <v>1792000</v>
      </c>
      <c r="S54" s="8"/>
      <c r="T54" s="9">
        <f t="shared" si="3"/>
        <v>1.580246913580247E-2</v>
      </c>
      <c r="U54" s="9">
        <f t="shared" si="4"/>
        <v>4.9163237311385458E-3</v>
      </c>
      <c r="V54" s="9">
        <f t="shared" si="5"/>
        <v>7.5420875420875416E-2</v>
      </c>
      <c r="W54" s="9">
        <f t="shared" si="6"/>
        <v>4.148148148148148E-2</v>
      </c>
      <c r="X54" s="10">
        <f t="shared" si="7"/>
        <v>2.2626262626262626E-2</v>
      </c>
      <c r="Y54" s="9">
        <f t="shared" si="8"/>
        <v>1.037037037037037E-2</v>
      </c>
      <c r="Z54" s="11"/>
      <c r="AA54" s="11" t="s">
        <v>10</v>
      </c>
    </row>
    <row r="55" spans="1:27">
      <c r="A55" s="8"/>
      <c r="B55" s="8" t="s">
        <v>120</v>
      </c>
      <c r="C55" s="8">
        <v>2002356</v>
      </c>
      <c r="D55" s="8" t="s">
        <v>121</v>
      </c>
      <c r="E55" s="8">
        <v>1</v>
      </c>
      <c r="F55" s="8"/>
      <c r="G55" s="8"/>
      <c r="H55" s="8"/>
      <c r="I55" s="8">
        <v>1</v>
      </c>
      <c r="J55" s="8"/>
      <c r="K55" s="8">
        <v>1</v>
      </c>
      <c r="L55" s="8"/>
      <c r="M55" s="8"/>
      <c r="N55" s="8"/>
      <c r="O55" s="8"/>
      <c r="P55" s="8"/>
      <c r="Q55" s="8">
        <f t="shared" si="1"/>
        <v>0</v>
      </c>
      <c r="R55" s="8">
        <f t="shared" si="2"/>
        <v>0</v>
      </c>
      <c r="S55" s="8"/>
      <c r="T55" s="9">
        <f t="shared" si="3"/>
        <v>0</v>
      </c>
      <c r="U55" s="9">
        <f t="shared" si="4"/>
        <v>0</v>
      </c>
      <c r="V55" s="9">
        <f t="shared" si="5"/>
        <v>0</v>
      </c>
      <c r="W55" s="9">
        <f t="shared" si="6"/>
        <v>0</v>
      </c>
      <c r="X55" s="9">
        <f t="shared" si="7"/>
        <v>0</v>
      </c>
      <c r="Y55" s="9">
        <f t="shared" si="8"/>
        <v>0</v>
      </c>
      <c r="Z55" s="11"/>
      <c r="AA55" s="11"/>
    </row>
    <row r="56" spans="1:27">
      <c r="A56" s="8"/>
      <c r="B56" s="8" t="s">
        <v>122</v>
      </c>
      <c r="C56" s="8">
        <v>2000041</v>
      </c>
      <c r="D56" s="8" t="s">
        <v>123</v>
      </c>
      <c r="E56" s="8">
        <v>1</v>
      </c>
      <c r="F56" s="8"/>
      <c r="G56" s="8"/>
      <c r="H56" s="8"/>
      <c r="I56" s="8">
        <v>1</v>
      </c>
      <c r="J56" s="8"/>
      <c r="K56" s="8">
        <v>1</v>
      </c>
      <c r="L56" s="8"/>
      <c r="M56" s="8"/>
      <c r="N56" s="8"/>
      <c r="O56" s="8"/>
      <c r="P56" s="8"/>
      <c r="Q56" s="8">
        <f t="shared" si="1"/>
        <v>0</v>
      </c>
      <c r="R56" s="8">
        <f t="shared" si="2"/>
        <v>0</v>
      </c>
      <c r="S56" s="8"/>
      <c r="T56" s="9">
        <f t="shared" si="3"/>
        <v>0</v>
      </c>
      <c r="U56" s="9">
        <f t="shared" si="4"/>
        <v>0</v>
      </c>
      <c r="V56" s="9">
        <f t="shared" si="5"/>
        <v>0</v>
      </c>
      <c r="W56" s="9">
        <f t="shared" si="6"/>
        <v>0</v>
      </c>
      <c r="X56" s="9">
        <f t="shared" si="7"/>
        <v>0</v>
      </c>
      <c r="Y56" s="9">
        <f t="shared" si="8"/>
        <v>0</v>
      </c>
      <c r="Z56" s="11"/>
      <c r="AA56" s="11"/>
    </row>
    <row r="57" spans="1:27">
      <c r="A57" s="8"/>
      <c r="B57" s="8" t="s">
        <v>124</v>
      </c>
      <c r="C57" s="8">
        <v>2000553</v>
      </c>
      <c r="D57" s="8" t="s">
        <v>125</v>
      </c>
      <c r="E57" s="8">
        <v>1</v>
      </c>
      <c r="F57" s="8"/>
      <c r="G57" s="8"/>
      <c r="H57" s="8"/>
      <c r="I57" s="8">
        <v>1</v>
      </c>
      <c r="J57" s="8"/>
      <c r="K57" s="8">
        <v>1</v>
      </c>
      <c r="L57" s="8"/>
      <c r="M57" s="8"/>
      <c r="N57" s="8"/>
      <c r="O57" s="8"/>
      <c r="P57" s="8"/>
      <c r="Q57" s="8">
        <f t="shared" si="1"/>
        <v>0</v>
      </c>
      <c r="R57" s="8">
        <f t="shared" si="2"/>
        <v>0</v>
      </c>
      <c r="S57" s="8"/>
      <c r="T57" s="9">
        <f t="shared" si="3"/>
        <v>0</v>
      </c>
      <c r="U57" s="9">
        <f t="shared" si="4"/>
        <v>0</v>
      </c>
      <c r="V57" s="9">
        <f t="shared" si="5"/>
        <v>0</v>
      </c>
      <c r="W57" s="9">
        <f t="shared" si="6"/>
        <v>0</v>
      </c>
      <c r="X57" s="9">
        <f t="shared" si="7"/>
        <v>0</v>
      </c>
      <c r="Y57" s="9">
        <f t="shared" si="8"/>
        <v>0</v>
      </c>
      <c r="Z57" s="11"/>
      <c r="AA57" s="11"/>
    </row>
    <row r="58" spans="1:27">
      <c r="A58" s="8"/>
      <c r="B58" s="8" t="s">
        <v>126</v>
      </c>
      <c r="C58" s="8">
        <v>7010115</v>
      </c>
      <c r="D58" s="8" t="s">
        <v>127</v>
      </c>
      <c r="E58" s="8">
        <v>2</v>
      </c>
      <c r="F58" s="8" t="s">
        <v>45</v>
      </c>
      <c r="G58" s="8">
        <v>1</v>
      </c>
      <c r="H58" s="8"/>
      <c r="I58" s="8">
        <v>1</v>
      </c>
      <c r="J58" s="8"/>
      <c r="K58" s="8">
        <v>1</v>
      </c>
      <c r="L58" s="8"/>
      <c r="M58" s="8"/>
      <c r="N58" s="8"/>
      <c r="O58" s="8"/>
      <c r="P58" s="8"/>
      <c r="Q58" s="8">
        <f t="shared" si="1"/>
        <v>0</v>
      </c>
      <c r="R58" s="8">
        <f t="shared" si="2"/>
        <v>0</v>
      </c>
      <c r="S58" s="8"/>
      <c r="T58" s="9">
        <f t="shared" si="3"/>
        <v>0</v>
      </c>
      <c r="U58" s="9">
        <f t="shared" si="4"/>
        <v>0</v>
      </c>
      <c r="V58" s="9">
        <f t="shared" si="5"/>
        <v>0</v>
      </c>
      <c r="W58" s="9">
        <f t="shared" si="6"/>
        <v>0</v>
      </c>
      <c r="X58" s="9">
        <f t="shared" si="7"/>
        <v>0</v>
      </c>
      <c r="Y58" s="9">
        <f t="shared" si="8"/>
        <v>0</v>
      </c>
      <c r="Z58" s="11"/>
      <c r="AA58" s="11"/>
    </row>
    <row r="59" spans="1:27">
      <c r="A59" s="8"/>
      <c r="B59" s="8" t="s">
        <v>128</v>
      </c>
      <c r="C59" s="8">
        <v>2000516</v>
      </c>
      <c r="D59" s="8" t="s">
        <v>129</v>
      </c>
      <c r="E59" s="8">
        <v>2</v>
      </c>
      <c r="F59" s="8"/>
      <c r="G59" s="8"/>
      <c r="H59" s="8"/>
      <c r="I59" s="8">
        <v>1</v>
      </c>
      <c r="J59" s="8"/>
      <c r="K59" s="8">
        <v>1</v>
      </c>
      <c r="L59" s="8"/>
      <c r="M59" s="8"/>
      <c r="N59" s="8"/>
      <c r="O59" s="8"/>
      <c r="P59" s="8"/>
      <c r="Q59" s="8">
        <f t="shared" si="1"/>
        <v>0</v>
      </c>
      <c r="R59" s="8">
        <f t="shared" si="2"/>
        <v>0</v>
      </c>
      <c r="S59" s="8"/>
      <c r="T59" s="9">
        <f t="shared" si="3"/>
        <v>0</v>
      </c>
      <c r="U59" s="9">
        <f t="shared" si="4"/>
        <v>0</v>
      </c>
      <c r="V59" s="9">
        <f t="shared" si="5"/>
        <v>0</v>
      </c>
      <c r="W59" s="9">
        <f t="shared" si="6"/>
        <v>0</v>
      </c>
      <c r="X59" s="9">
        <f t="shared" si="7"/>
        <v>0</v>
      </c>
      <c r="Y59" s="9">
        <f t="shared" si="8"/>
        <v>0</v>
      </c>
      <c r="Z59" s="11"/>
      <c r="AA59" s="11"/>
    </row>
    <row r="60" spans="1:27">
      <c r="A60" s="7">
        <v>12</v>
      </c>
      <c r="B60" s="7" t="s">
        <v>130</v>
      </c>
      <c r="C60" s="8">
        <v>7038248</v>
      </c>
      <c r="D60" s="8" t="s">
        <v>131</v>
      </c>
      <c r="E60" s="8">
        <v>1</v>
      </c>
      <c r="F60" s="8" t="s">
        <v>34</v>
      </c>
      <c r="G60" s="8"/>
      <c r="H60" s="8"/>
      <c r="I60" s="8"/>
      <c r="J60" s="8"/>
      <c r="K60" s="8"/>
      <c r="L60" s="8">
        <v>1</v>
      </c>
      <c r="M60" s="8">
        <v>656</v>
      </c>
      <c r="N60" s="8">
        <v>542</v>
      </c>
      <c r="O60" s="8">
        <v>118</v>
      </c>
      <c r="P60" s="8"/>
      <c r="Q60" s="8">
        <f t="shared" si="1"/>
        <v>41955136</v>
      </c>
      <c r="R60" s="8">
        <f t="shared" si="2"/>
        <v>209775680</v>
      </c>
      <c r="S60" s="8"/>
      <c r="T60" s="9">
        <f t="shared" si="3"/>
        <v>1.849873721340388</v>
      </c>
      <c r="U60" s="10">
        <f t="shared" si="4"/>
        <v>0.57551626886145402</v>
      </c>
      <c r="V60" s="9">
        <f t="shared" si="5"/>
        <v>8.8289427609427609</v>
      </c>
      <c r="W60" s="9">
        <f t="shared" si="6"/>
        <v>4.8559185185185187</v>
      </c>
      <c r="X60" s="9">
        <f t="shared" si="7"/>
        <v>2.6486828282828281</v>
      </c>
      <c r="Y60" s="9">
        <f t="shared" si="8"/>
        <v>1.2139796296296297</v>
      </c>
      <c r="Z60" s="11"/>
      <c r="AA60" s="11" t="s">
        <v>29</v>
      </c>
    </row>
    <row r="61" spans="1:27">
      <c r="A61" s="8"/>
      <c r="B61" s="8" t="s">
        <v>132</v>
      </c>
      <c r="C61" s="8">
        <v>2017967</v>
      </c>
      <c r="D61" s="8" t="s">
        <v>133</v>
      </c>
      <c r="E61" s="8">
        <v>1</v>
      </c>
      <c r="F61" s="8" t="s">
        <v>134</v>
      </c>
      <c r="G61" s="8">
        <v>1</v>
      </c>
      <c r="H61" s="8"/>
      <c r="I61" s="8">
        <v>1</v>
      </c>
      <c r="J61" s="8"/>
      <c r="K61" s="8">
        <v>1</v>
      </c>
      <c r="L61" s="8"/>
      <c r="M61" s="8">
        <v>700</v>
      </c>
      <c r="N61" s="8">
        <v>526</v>
      </c>
      <c r="O61" s="8">
        <v>83</v>
      </c>
      <c r="P61" s="8"/>
      <c r="Q61" s="8">
        <f t="shared" si="1"/>
        <v>30560600</v>
      </c>
      <c r="R61" s="8">
        <f t="shared" si="2"/>
        <v>152803000</v>
      </c>
      <c r="S61" s="8"/>
      <c r="T61" s="9">
        <f t="shared" si="3"/>
        <v>1.3474691358024691</v>
      </c>
      <c r="U61" s="10">
        <f t="shared" si="4"/>
        <v>0.41921262002743487</v>
      </c>
      <c r="V61" s="9">
        <f t="shared" si="5"/>
        <v>6.4311026936026936</v>
      </c>
      <c r="W61" s="9">
        <f t="shared" si="6"/>
        <v>3.5371064814814814</v>
      </c>
      <c r="X61" s="9">
        <f t="shared" si="7"/>
        <v>1.929330808080808</v>
      </c>
      <c r="Y61" s="9">
        <f t="shared" si="8"/>
        <v>0.88427662037037036</v>
      </c>
      <c r="Z61" s="11"/>
      <c r="AA61" s="11" t="s">
        <v>29</v>
      </c>
    </row>
    <row r="62" spans="1:27">
      <c r="A62" s="8"/>
      <c r="B62" s="8" t="s">
        <v>135</v>
      </c>
      <c r="C62" s="8">
        <v>2017968</v>
      </c>
      <c r="D62" s="8" t="s">
        <v>136</v>
      </c>
      <c r="E62" s="8">
        <v>4</v>
      </c>
      <c r="F62" s="8" t="s">
        <v>134</v>
      </c>
      <c r="G62" s="8"/>
      <c r="H62" s="8"/>
      <c r="I62" s="8">
        <v>1</v>
      </c>
      <c r="J62" s="8"/>
      <c r="K62" s="8">
        <v>1</v>
      </c>
      <c r="L62" s="8"/>
      <c r="M62" s="8">
        <v>63</v>
      </c>
      <c r="N62" s="8">
        <v>50</v>
      </c>
      <c r="O62" s="8">
        <v>29</v>
      </c>
      <c r="P62" s="8"/>
      <c r="Q62" s="8">
        <f t="shared" si="1"/>
        <v>365400</v>
      </c>
      <c r="R62" s="8">
        <f t="shared" si="2"/>
        <v>1827000</v>
      </c>
      <c r="S62" s="8"/>
      <c r="T62" s="9">
        <f t="shared" si="3"/>
        <v>1.6111111111111111E-2</v>
      </c>
      <c r="U62" s="9">
        <f t="shared" si="4"/>
        <v>5.012345679012346E-3</v>
      </c>
      <c r="V62" s="10">
        <f t="shared" si="5"/>
        <v>7.6893939393939389E-2</v>
      </c>
      <c r="W62" s="9">
        <f t="shared" si="6"/>
        <v>4.2291666666666665E-2</v>
      </c>
      <c r="X62" s="9">
        <f t="shared" si="7"/>
        <v>2.3068181818181818E-2</v>
      </c>
      <c r="Y62" s="9">
        <f t="shared" si="8"/>
        <v>1.0572916666666666E-2</v>
      </c>
      <c r="Z62" s="11"/>
      <c r="AA62" s="11" t="s">
        <v>8</v>
      </c>
    </row>
    <row r="63" spans="1:27">
      <c r="A63" s="8"/>
      <c r="B63" s="8" t="s">
        <v>137</v>
      </c>
      <c r="C63" s="8">
        <v>2017969</v>
      </c>
      <c r="D63" s="8" t="s">
        <v>138</v>
      </c>
      <c r="E63" s="8">
        <v>1</v>
      </c>
      <c r="F63" s="8" t="s">
        <v>134</v>
      </c>
      <c r="G63" s="8"/>
      <c r="H63" s="8"/>
      <c r="I63" s="8">
        <v>1</v>
      </c>
      <c r="J63" s="8"/>
      <c r="K63" s="8">
        <v>1</v>
      </c>
      <c r="L63" s="8"/>
      <c r="M63" s="8">
        <v>1637</v>
      </c>
      <c r="N63" s="8">
        <v>520</v>
      </c>
      <c r="O63" s="8">
        <v>35</v>
      </c>
      <c r="P63" s="8"/>
      <c r="Q63" s="8">
        <f t="shared" si="1"/>
        <v>29793400</v>
      </c>
      <c r="R63" s="8">
        <f t="shared" si="2"/>
        <v>148967000</v>
      </c>
      <c r="S63" s="8"/>
      <c r="T63" s="9">
        <f t="shared" si="3"/>
        <v>1.3136419753086419</v>
      </c>
      <c r="U63" s="9">
        <f t="shared" si="4"/>
        <v>0.4086886145404664</v>
      </c>
      <c r="V63" s="9">
        <f t="shared" si="5"/>
        <v>6.2696548821548825</v>
      </c>
      <c r="W63" s="9">
        <f t="shared" si="6"/>
        <v>3.4483101851851852</v>
      </c>
      <c r="X63" s="9">
        <f t="shared" si="7"/>
        <v>1.8808964646464645</v>
      </c>
      <c r="Y63" s="9">
        <f t="shared" si="8"/>
        <v>0.86207754629629629</v>
      </c>
      <c r="Z63" s="13"/>
      <c r="AA63" s="11" t="s">
        <v>30</v>
      </c>
    </row>
    <row r="64" spans="1:27">
      <c r="A64" s="8"/>
      <c r="B64" s="8" t="s">
        <v>107</v>
      </c>
      <c r="C64" s="8">
        <v>2000277</v>
      </c>
      <c r="D64" s="8" t="s">
        <v>108</v>
      </c>
      <c r="E64" s="8">
        <v>4</v>
      </c>
      <c r="F64" s="8" t="s">
        <v>34</v>
      </c>
      <c r="G64" s="8"/>
      <c r="H64" s="8"/>
      <c r="I64" s="8">
        <v>1</v>
      </c>
      <c r="J64" s="8"/>
      <c r="K64" s="8">
        <v>1</v>
      </c>
      <c r="L64" s="8"/>
      <c r="M64" s="8"/>
      <c r="N64" s="8"/>
      <c r="O64" s="8"/>
      <c r="P64" s="8"/>
      <c r="Q64" s="8">
        <f t="shared" si="1"/>
        <v>0</v>
      </c>
      <c r="R64" s="8">
        <f t="shared" si="2"/>
        <v>0</v>
      </c>
      <c r="S64" s="8"/>
      <c r="T64" s="9">
        <f t="shared" si="3"/>
        <v>0</v>
      </c>
      <c r="U64" s="9">
        <f t="shared" si="4"/>
        <v>0</v>
      </c>
      <c r="V64" s="9">
        <f t="shared" si="5"/>
        <v>0</v>
      </c>
      <c r="W64" s="9">
        <f t="shared" si="6"/>
        <v>0</v>
      </c>
      <c r="X64" s="9">
        <f t="shared" si="7"/>
        <v>0</v>
      </c>
      <c r="Y64" s="9">
        <f t="shared" si="8"/>
        <v>0</v>
      </c>
      <c r="Z64" s="11"/>
      <c r="AA64" s="11"/>
    </row>
    <row r="65" spans="1:27">
      <c r="A65" s="7">
        <v>13</v>
      </c>
      <c r="B65" s="7" t="s">
        <v>139</v>
      </c>
      <c r="C65" s="8">
        <v>7038251</v>
      </c>
      <c r="D65" s="8" t="s">
        <v>140</v>
      </c>
      <c r="E65" s="8">
        <v>1</v>
      </c>
      <c r="F65" s="8" t="s">
        <v>34</v>
      </c>
      <c r="G65" s="8"/>
      <c r="H65" s="8"/>
      <c r="I65" s="8"/>
      <c r="J65" s="8"/>
      <c r="K65" s="8"/>
      <c r="L65" s="8">
        <v>1</v>
      </c>
      <c r="M65" s="8">
        <v>314</v>
      </c>
      <c r="N65" s="8">
        <v>283</v>
      </c>
      <c r="O65" s="8">
        <v>70</v>
      </c>
      <c r="P65" s="8"/>
      <c r="Q65" s="8">
        <f t="shared" si="1"/>
        <v>6220340</v>
      </c>
      <c r="R65" s="8">
        <f t="shared" si="2"/>
        <v>31101700</v>
      </c>
      <c r="S65" s="8"/>
      <c r="T65" s="9">
        <f t="shared" si="3"/>
        <v>0.27426543209876542</v>
      </c>
      <c r="U65" s="9">
        <f t="shared" si="4"/>
        <v>8.5327023319615919E-2</v>
      </c>
      <c r="V65" s="9">
        <f t="shared" si="5"/>
        <v>1.3089941077441078</v>
      </c>
      <c r="W65" s="9">
        <f t="shared" si="6"/>
        <v>0.71994675925925922</v>
      </c>
      <c r="X65" s="9">
        <f t="shared" si="7"/>
        <v>0.39269823232323231</v>
      </c>
      <c r="Y65" s="10">
        <f t="shared" si="8"/>
        <v>0.1799866898148148</v>
      </c>
      <c r="Z65" s="11"/>
      <c r="AA65" s="11" t="s">
        <v>11</v>
      </c>
    </row>
    <row r="66" spans="1:27">
      <c r="A66" s="8"/>
      <c r="B66" s="8" t="s">
        <v>141</v>
      </c>
      <c r="C66" s="8">
        <v>7038252</v>
      </c>
      <c r="D66" s="8" t="s">
        <v>142</v>
      </c>
      <c r="E66" s="8">
        <v>1</v>
      </c>
      <c r="F66" s="8" t="s">
        <v>37</v>
      </c>
      <c r="G66" s="8">
        <v>1</v>
      </c>
      <c r="H66" s="8"/>
      <c r="I66" s="8">
        <v>1</v>
      </c>
      <c r="J66" s="8"/>
      <c r="K66" s="8">
        <v>1</v>
      </c>
      <c r="L66" s="8"/>
      <c r="M66" s="8">
        <v>248</v>
      </c>
      <c r="N66" s="8">
        <v>276</v>
      </c>
      <c r="O66" s="8">
        <v>8</v>
      </c>
      <c r="P66" s="8"/>
      <c r="Q66" s="8">
        <f t="shared" si="1"/>
        <v>547584</v>
      </c>
      <c r="R66" s="8">
        <f t="shared" si="2"/>
        <v>2737920</v>
      </c>
      <c r="S66" s="8"/>
      <c r="T66" s="9">
        <f t="shared" si="3"/>
        <v>2.4143915343915343E-2</v>
      </c>
      <c r="U66" s="9">
        <f t="shared" si="4"/>
        <v>7.5114403292181071E-3</v>
      </c>
      <c r="V66" s="9">
        <f t="shared" si="5"/>
        <v>0.11523232323232323</v>
      </c>
      <c r="W66" s="9">
        <f t="shared" si="6"/>
        <v>6.3377777777777783E-2</v>
      </c>
      <c r="X66" s="10">
        <f t="shared" si="7"/>
        <v>3.4569696969696972E-2</v>
      </c>
      <c r="Y66" s="9">
        <f t="shared" si="8"/>
        <v>1.5844444444444446E-2</v>
      </c>
      <c r="Z66" s="11"/>
      <c r="AA66" s="11" t="s">
        <v>10</v>
      </c>
    </row>
    <row r="67" spans="1:27">
      <c r="A67" s="8"/>
      <c r="B67" s="8" t="s">
        <v>143</v>
      </c>
      <c r="C67" s="8">
        <v>7038253</v>
      </c>
      <c r="D67" s="8" t="s">
        <v>144</v>
      </c>
      <c r="E67" s="8">
        <v>1</v>
      </c>
      <c r="F67" s="8" t="s">
        <v>37</v>
      </c>
      <c r="G67" s="8">
        <v>1</v>
      </c>
      <c r="H67" s="8"/>
      <c r="I67" s="8">
        <v>1</v>
      </c>
      <c r="J67" s="8"/>
      <c r="K67" s="8">
        <v>1</v>
      </c>
      <c r="L67" s="8"/>
      <c r="M67" s="8">
        <v>78.2</v>
      </c>
      <c r="N67" s="8">
        <v>35</v>
      </c>
      <c r="O67" s="8">
        <v>8</v>
      </c>
      <c r="P67" s="8"/>
      <c r="Q67" s="8">
        <f t="shared" si="1"/>
        <v>21896</v>
      </c>
      <c r="R67" s="8">
        <f t="shared" si="2"/>
        <v>109480</v>
      </c>
      <c r="S67" s="8"/>
      <c r="T67" s="9">
        <f t="shared" si="3"/>
        <v>9.6543209876543215E-4</v>
      </c>
      <c r="U67" s="9">
        <f t="shared" si="4"/>
        <v>3.0035665294924556E-4</v>
      </c>
      <c r="V67" s="10">
        <f t="shared" si="5"/>
        <v>4.6077441077441075E-3</v>
      </c>
      <c r="W67" s="9">
        <f t="shared" si="6"/>
        <v>2.5342592592592591E-3</v>
      </c>
      <c r="X67" s="9">
        <f t="shared" si="7"/>
        <v>1.3823232323232322E-3</v>
      </c>
      <c r="Y67" s="9">
        <f t="shared" si="8"/>
        <v>6.3356481481481478E-4</v>
      </c>
      <c r="Z67" s="11"/>
      <c r="AA67" s="11" t="s">
        <v>8</v>
      </c>
    </row>
    <row r="68" spans="1:27">
      <c r="A68" s="8"/>
      <c r="B68" s="8" t="s">
        <v>145</v>
      </c>
      <c r="C68" s="8">
        <v>7038254</v>
      </c>
      <c r="D68" s="8" t="s">
        <v>146</v>
      </c>
      <c r="E68" s="8">
        <v>1</v>
      </c>
      <c r="F68" s="8" t="s">
        <v>37</v>
      </c>
      <c r="G68" s="8">
        <v>1</v>
      </c>
      <c r="H68" s="8"/>
      <c r="I68" s="8">
        <v>1</v>
      </c>
      <c r="J68" s="8"/>
      <c r="K68" s="8">
        <v>1</v>
      </c>
      <c r="L68" s="8"/>
      <c r="M68" s="8">
        <v>70</v>
      </c>
      <c r="N68" s="8">
        <v>75</v>
      </c>
      <c r="O68" s="8">
        <v>8</v>
      </c>
      <c r="P68" s="8"/>
      <c r="Q68" s="8">
        <f t="shared" si="1"/>
        <v>42000</v>
      </c>
      <c r="R68" s="8">
        <f t="shared" si="2"/>
        <v>210000</v>
      </c>
      <c r="S68" s="8"/>
      <c r="T68" s="9">
        <f t="shared" si="3"/>
        <v>1.8518518518518519E-3</v>
      </c>
      <c r="U68" s="9">
        <f t="shared" si="4"/>
        <v>5.7613168724279839E-4</v>
      </c>
      <c r="V68" s="10">
        <f t="shared" si="5"/>
        <v>8.8383838383838381E-3</v>
      </c>
      <c r="W68" s="9">
        <f t="shared" si="6"/>
        <v>4.8611111111111112E-3</v>
      </c>
      <c r="X68" s="9">
        <f t="shared" si="7"/>
        <v>2.6515151515151517E-3</v>
      </c>
      <c r="Y68" s="9">
        <f t="shared" si="8"/>
        <v>1.2152777777777778E-3</v>
      </c>
      <c r="Z68" s="11"/>
      <c r="AA68" s="11" t="s">
        <v>8</v>
      </c>
    </row>
    <row r="69" spans="1:27">
      <c r="A69" s="7">
        <v>14</v>
      </c>
      <c r="B69" s="7" t="s">
        <v>147</v>
      </c>
      <c r="C69" s="8">
        <v>7038136</v>
      </c>
      <c r="D69" s="8" t="s">
        <v>148</v>
      </c>
      <c r="E69" s="8">
        <v>1</v>
      </c>
      <c r="F69" s="8" t="s">
        <v>34</v>
      </c>
      <c r="G69" s="8"/>
      <c r="H69" s="8"/>
      <c r="I69" s="8"/>
      <c r="J69" s="8"/>
      <c r="K69" s="8"/>
      <c r="L69" s="8">
        <v>1</v>
      </c>
      <c r="M69" s="8">
        <v>375</v>
      </c>
      <c r="N69" s="8">
        <v>170</v>
      </c>
      <c r="O69" s="8">
        <v>188</v>
      </c>
      <c r="P69" s="8"/>
      <c r="Q69" s="8">
        <f t="shared" si="1"/>
        <v>11985000</v>
      </c>
      <c r="R69" s="8">
        <f t="shared" si="2"/>
        <v>59925000</v>
      </c>
      <c r="S69" s="8"/>
      <c r="T69" s="9">
        <f t="shared" si="3"/>
        <v>0.52843915343915349</v>
      </c>
      <c r="U69" s="9">
        <f t="shared" si="4"/>
        <v>0.16440329218106997</v>
      </c>
      <c r="V69" s="9">
        <f t="shared" si="5"/>
        <v>2.5220959595959598</v>
      </c>
      <c r="W69" s="9">
        <f t="shared" si="6"/>
        <v>1.3871527777777777</v>
      </c>
      <c r="X69" s="9">
        <f t="shared" si="7"/>
        <v>0.75662878787878785</v>
      </c>
      <c r="Y69" s="10">
        <f t="shared" si="8"/>
        <v>0.34678819444444442</v>
      </c>
      <c r="Z69" s="11"/>
      <c r="AA69" s="11" t="s">
        <v>11</v>
      </c>
    </row>
    <row r="70" spans="1:27">
      <c r="A70" s="8"/>
      <c r="B70" s="8" t="s">
        <v>149</v>
      </c>
      <c r="C70" s="8">
        <v>7038137</v>
      </c>
      <c r="D70" s="8" t="s">
        <v>150</v>
      </c>
      <c r="E70" s="8">
        <v>1</v>
      </c>
      <c r="F70" s="8" t="s">
        <v>34</v>
      </c>
      <c r="G70" s="8">
        <v>1</v>
      </c>
      <c r="H70" s="8"/>
      <c r="I70" s="8">
        <v>1</v>
      </c>
      <c r="J70" s="8"/>
      <c r="K70" s="8">
        <v>1</v>
      </c>
      <c r="L70" s="8"/>
      <c r="M70" s="8">
        <v>400</v>
      </c>
      <c r="N70" s="8">
        <v>170</v>
      </c>
      <c r="O70" s="8">
        <v>7</v>
      </c>
      <c r="P70" s="8"/>
      <c r="Q70" s="8">
        <f t="shared" si="1"/>
        <v>476000</v>
      </c>
      <c r="R70" s="8">
        <f t="shared" si="2"/>
        <v>2380000</v>
      </c>
      <c r="S70" s="8"/>
      <c r="T70" s="9">
        <f t="shared" si="3"/>
        <v>2.0987654320987655E-2</v>
      </c>
      <c r="U70" s="9">
        <f t="shared" si="4"/>
        <v>6.5294924554183814E-3</v>
      </c>
      <c r="V70" s="9">
        <f t="shared" si="5"/>
        <v>0.10016835016835017</v>
      </c>
      <c r="W70" s="9">
        <f t="shared" si="6"/>
        <v>5.5092592592592596E-2</v>
      </c>
      <c r="X70" s="9">
        <f t="shared" si="7"/>
        <v>3.005050505050505E-2</v>
      </c>
      <c r="Y70" s="10">
        <f t="shared" si="8"/>
        <v>1.3773148148148149E-2</v>
      </c>
      <c r="Z70" s="11"/>
      <c r="AA70" s="11" t="s">
        <v>11</v>
      </c>
    </row>
    <row r="71" spans="1:27">
      <c r="A71" s="8"/>
      <c r="B71" s="8" t="s">
        <v>151</v>
      </c>
      <c r="C71" s="8">
        <v>7038138</v>
      </c>
      <c r="D71" s="8" t="s">
        <v>152</v>
      </c>
      <c r="E71" s="8">
        <v>2</v>
      </c>
      <c r="F71" s="8" t="s">
        <v>89</v>
      </c>
      <c r="G71" s="8">
        <v>1</v>
      </c>
      <c r="H71" s="8"/>
      <c r="I71" s="8">
        <v>1</v>
      </c>
      <c r="J71" s="8"/>
      <c r="K71" s="8">
        <v>1</v>
      </c>
      <c r="L71" s="8"/>
      <c r="M71" s="8">
        <v>160</v>
      </c>
      <c r="N71" s="8">
        <v>185</v>
      </c>
      <c r="O71" s="8">
        <v>6</v>
      </c>
      <c r="P71" s="8"/>
      <c r="Q71" s="8">
        <f t="shared" si="1"/>
        <v>355200</v>
      </c>
      <c r="R71" s="8">
        <f t="shared" si="2"/>
        <v>1776000</v>
      </c>
      <c r="S71" s="8"/>
      <c r="T71" s="9">
        <f t="shared" si="3"/>
        <v>1.5661375661375661E-2</v>
      </c>
      <c r="U71" s="9">
        <f t="shared" si="4"/>
        <v>4.8724279835390943E-3</v>
      </c>
      <c r="V71" s="10">
        <f t="shared" si="5"/>
        <v>7.4747474747474743E-2</v>
      </c>
      <c r="W71" s="9">
        <f t="shared" si="6"/>
        <v>4.1111111111111112E-2</v>
      </c>
      <c r="X71" s="9">
        <f t="shared" si="7"/>
        <v>2.2424242424242423E-2</v>
      </c>
      <c r="Y71" s="9">
        <f t="shared" si="8"/>
        <v>1.0277777777777778E-2</v>
      </c>
      <c r="Z71" s="11"/>
      <c r="AA71" s="11" t="s">
        <v>8</v>
      </c>
    </row>
    <row r="72" spans="1:27">
      <c r="A72" s="7">
        <v>15</v>
      </c>
      <c r="B72" s="7" t="s">
        <v>153</v>
      </c>
      <c r="C72" s="8">
        <v>7038373</v>
      </c>
      <c r="D72" s="8" t="s">
        <v>154</v>
      </c>
      <c r="E72" s="8">
        <v>1</v>
      </c>
      <c r="F72" s="8" t="s">
        <v>34</v>
      </c>
      <c r="G72" s="8"/>
      <c r="H72" s="8"/>
      <c r="I72" s="8"/>
      <c r="J72" s="8"/>
      <c r="K72" s="8"/>
      <c r="L72" s="8">
        <v>1</v>
      </c>
      <c r="M72" s="8">
        <v>986</v>
      </c>
      <c r="N72" s="8">
        <v>888</v>
      </c>
      <c r="O72" s="8">
        <v>86</v>
      </c>
      <c r="P72" s="8"/>
      <c r="Q72" s="8">
        <f t="shared" si="1"/>
        <v>75298848</v>
      </c>
      <c r="R72" s="8">
        <f t="shared" si="2"/>
        <v>376494240</v>
      </c>
      <c r="S72" s="8"/>
      <c r="T72" s="9">
        <f t="shared" si="3"/>
        <v>3.3200550264550266</v>
      </c>
      <c r="U72" s="9">
        <f t="shared" si="4"/>
        <v>1.0329060082304526</v>
      </c>
      <c r="V72" s="9">
        <f t="shared" si="5"/>
        <v>15.845717171717173</v>
      </c>
      <c r="W72" s="9">
        <f t="shared" si="6"/>
        <v>8.7151444444444444</v>
      </c>
      <c r="X72" s="9">
        <f t="shared" si="7"/>
        <v>4.7537151515151512</v>
      </c>
      <c r="Y72" s="9">
        <f t="shared" si="8"/>
        <v>2.1787861111111111</v>
      </c>
      <c r="Z72" s="13"/>
      <c r="AA72" s="11" t="s">
        <v>30</v>
      </c>
    </row>
    <row r="73" spans="1:27">
      <c r="A73" s="8"/>
      <c r="B73" s="8" t="s">
        <v>155</v>
      </c>
      <c r="C73" s="8">
        <v>7038374</v>
      </c>
      <c r="D73" s="8" t="s">
        <v>156</v>
      </c>
      <c r="E73" s="8">
        <v>1</v>
      </c>
      <c r="F73" s="8" t="s">
        <v>157</v>
      </c>
      <c r="G73" s="8">
        <v>1</v>
      </c>
      <c r="H73" s="8"/>
      <c r="I73" s="8">
        <v>1</v>
      </c>
      <c r="J73" s="8"/>
      <c r="K73" s="8">
        <v>1</v>
      </c>
      <c r="L73" s="8"/>
      <c r="M73" s="8">
        <v>701</v>
      </c>
      <c r="N73" s="8">
        <v>195</v>
      </c>
      <c r="O73" s="8">
        <v>41</v>
      </c>
      <c r="P73" s="8"/>
      <c r="Q73" s="8">
        <f t="shared" si="1"/>
        <v>5604495</v>
      </c>
      <c r="R73" s="8">
        <f t="shared" si="2"/>
        <v>28022475</v>
      </c>
      <c r="S73" s="8"/>
      <c r="T73" s="10">
        <f t="shared" si="3"/>
        <v>0.24711177248677249</v>
      </c>
      <c r="U73" s="9">
        <f t="shared" si="4"/>
        <v>7.6879218106995884E-2</v>
      </c>
      <c r="V73" s="9">
        <f t="shared" si="5"/>
        <v>1.1793970959595959</v>
      </c>
      <c r="W73" s="9">
        <f t="shared" si="6"/>
        <v>0.64866840277777782</v>
      </c>
      <c r="X73" s="9">
        <f t="shared" si="7"/>
        <v>0.3538191287878788</v>
      </c>
      <c r="Y73" s="9">
        <f t="shared" si="8"/>
        <v>0.16216710069444445</v>
      </c>
      <c r="Z73" s="11"/>
      <c r="AA73" s="11" t="s">
        <v>5</v>
      </c>
    </row>
    <row r="74" spans="1:27">
      <c r="A74" s="8"/>
      <c r="B74" s="8" t="s">
        <v>158</v>
      </c>
      <c r="C74" s="8">
        <v>7038375</v>
      </c>
      <c r="D74" s="8" t="s">
        <v>159</v>
      </c>
      <c r="E74" s="8">
        <v>1</v>
      </c>
      <c r="F74" s="8" t="s">
        <v>157</v>
      </c>
      <c r="G74" s="8">
        <v>1</v>
      </c>
      <c r="H74" s="8"/>
      <c r="I74" s="8">
        <v>1</v>
      </c>
      <c r="J74" s="8"/>
      <c r="K74" s="8">
        <v>1</v>
      </c>
      <c r="L74" s="8"/>
      <c r="M74" s="8">
        <v>701</v>
      </c>
      <c r="N74" s="8">
        <v>195</v>
      </c>
      <c r="O74" s="8">
        <v>41</v>
      </c>
      <c r="P74" s="8"/>
      <c r="Q74" s="8">
        <f t="shared" si="1"/>
        <v>5604495</v>
      </c>
      <c r="R74" s="8">
        <f t="shared" si="2"/>
        <v>28022475</v>
      </c>
      <c r="S74" s="8"/>
      <c r="T74" s="10">
        <f t="shared" si="3"/>
        <v>0.24711177248677249</v>
      </c>
      <c r="U74" s="9">
        <f t="shared" si="4"/>
        <v>7.6879218106995884E-2</v>
      </c>
      <c r="V74" s="9">
        <f t="shared" si="5"/>
        <v>1.1793970959595959</v>
      </c>
      <c r="W74" s="9">
        <f t="shared" si="6"/>
        <v>0.64866840277777782</v>
      </c>
      <c r="X74" s="9">
        <f t="shared" si="7"/>
        <v>0.3538191287878788</v>
      </c>
      <c r="Y74" s="9">
        <f t="shared" si="8"/>
        <v>0.16216710069444445</v>
      </c>
      <c r="Z74" s="11"/>
      <c r="AA74" s="11" t="s">
        <v>5</v>
      </c>
    </row>
    <row r="75" spans="1:27">
      <c r="A75" s="8"/>
      <c r="B75" s="8" t="s">
        <v>160</v>
      </c>
      <c r="C75" s="8">
        <v>7038376</v>
      </c>
      <c r="D75" s="8" t="s">
        <v>161</v>
      </c>
      <c r="E75" s="8">
        <v>2</v>
      </c>
      <c r="F75" s="8" t="s">
        <v>157</v>
      </c>
      <c r="G75" s="8">
        <v>1</v>
      </c>
      <c r="H75" s="8"/>
      <c r="I75" s="8">
        <v>1</v>
      </c>
      <c r="J75" s="8"/>
      <c r="K75" s="8">
        <v>1</v>
      </c>
      <c r="L75" s="8"/>
      <c r="M75" s="8">
        <v>931</v>
      </c>
      <c r="N75" s="8">
        <v>128.6</v>
      </c>
      <c r="O75" s="8">
        <v>39</v>
      </c>
      <c r="P75" s="8"/>
      <c r="Q75" s="8">
        <f t="shared" si="1"/>
        <v>9338674.7999999989</v>
      </c>
      <c r="R75" s="8">
        <f t="shared" si="2"/>
        <v>46693373.999999993</v>
      </c>
      <c r="S75" s="8"/>
      <c r="T75" s="9">
        <f t="shared" si="3"/>
        <v>0.4117581481481481</v>
      </c>
      <c r="U75" s="9">
        <f t="shared" si="4"/>
        <v>0.12810253497942384</v>
      </c>
      <c r="V75" s="9">
        <f t="shared" si="5"/>
        <v>1.9652093434343432</v>
      </c>
      <c r="W75" s="9">
        <f t="shared" si="6"/>
        <v>1.0808651388888888</v>
      </c>
      <c r="X75" s="9">
        <f t="shared" si="7"/>
        <v>0.58956280303030295</v>
      </c>
      <c r="Y75" s="9">
        <f t="shared" si="8"/>
        <v>0.2702162847222222</v>
      </c>
      <c r="Z75" s="13"/>
      <c r="AA75" s="11" t="s">
        <v>30</v>
      </c>
    </row>
    <row r="76" spans="1:27">
      <c r="A76" s="8"/>
      <c r="B76" s="8" t="s">
        <v>162</v>
      </c>
      <c r="C76" s="8">
        <v>7038377</v>
      </c>
      <c r="D76" s="8" t="s">
        <v>163</v>
      </c>
      <c r="E76" s="8">
        <v>1</v>
      </c>
      <c r="F76" s="8" t="s">
        <v>157</v>
      </c>
      <c r="G76" s="8">
        <v>1</v>
      </c>
      <c r="H76" s="8"/>
      <c r="I76" s="8">
        <v>1</v>
      </c>
      <c r="J76" s="8"/>
      <c r="K76" s="8">
        <v>1</v>
      </c>
      <c r="L76" s="8"/>
      <c r="M76" s="8">
        <v>644</v>
      </c>
      <c r="N76" s="8">
        <v>118.8</v>
      </c>
      <c r="O76" s="8">
        <v>42</v>
      </c>
      <c r="P76" s="8"/>
      <c r="Q76" s="8">
        <f t="shared" si="1"/>
        <v>3213302.4</v>
      </c>
      <c r="R76" s="8">
        <f t="shared" si="2"/>
        <v>16066512</v>
      </c>
      <c r="S76" s="8"/>
      <c r="T76" s="10">
        <f t="shared" si="3"/>
        <v>0.14168</v>
      </c>
      <c r="U76" s="9">
        <f t="shared" si="4"/>
        <v>4.407822222222222E-2</v>
      </c>
      <c r="V76" s="9">
        <f t="shared" si="5"/>
        <v>0.67620000000000002</v>
      </c>
      <c r="W76" s="9">
        <f t="shared" si="6"/>
        <v>0.37191000000000002</v>
      </c>
      <c r="X76" s="9">
        <f t="shared" si="7"/>
        <v>0.20286000000000001</v>
      </c>
      <c r="Y76" s="9">
        <f t="shared" si="8"/>
        <v>9.2977500000000005E-2</v>
      </c>
      <c r="Z76" s="11"/>
      <c r="AA76" s="11" t="s">
        <v>5</v>
      </c>
    </row>
    <row r="77" spans="1:27">
      <c r="A77" s="8"/>
      <c r="B77" s="8" t="s">
        <v>164</v>
      </c>
      <c r="C77" s="8">
        <v>7038378</v>
      </c>
      <c r="D77" s="8" t="s">
        <v>165</v>
      </c>
      <c r="E77" s="8">
        <v>1</v>
      </c>
      <c r="F77" s="8" t="s">
        <v>157</v>
      </c>
      <c r="G77" s="8">
        <v>1</v>
      </c>
      <c r="H77" s="8"/>
      <c r="I77" s="8">
        <v>1</v>
      </c>
      <c r="J77" s="8"/>
      <c r="K77" s="8">
        <v>1</v>
      </c>
      <c r="L77" s="8"/>
      <c r="M77" s="8">
        <v>976</v>
      </c>
      <c r="N77" s="8">
        <v>211</v>
      </c>
      <c r="O77" s="8">
        <v>46.8</v>
      </c>
      <c r="P77" s="8"/>
      <c r="Q77" s="8">
        <f t="shared" ref="Q77:Q123" si="9">E77*M77*N77*O77</f>
        <v>9637804.7999999989</v>
      </c>
      <c r="R77" s="8">
        <f t="shared" ref="R77:R123" si="10">Q77*$U$4</f>
        <v>48189023.999999993</v>
      </c>
      <c r="S77" s="8"/>
      <c r="T77" s="9">
        <f t="shared" ref="T77:T123" si="11">R77/$O$3</f>
        <v>0.42494730158730154</v>
      </c>
      <c r="U77" s="9">
        <f t="shared" ref="U77:U123" si="12">R77/$O$4</f>
        <v>0.13220582716049381</v>
      </c>
      <c r="V77" s="9">
        <f t="shared" ref="V77:V123" si="13">R77/$O$5</f>
        <v>2.0281575757575756</v>
      </c>
      <c r="W77" s="9">
        <f t="shared" ref="W77:W123" si="14">R77/$O$6</f>
        <v>1.1154866666666665</v>
      </c>
      <c r="X77" s="9">
        <f t="shared" ref="X77:X123" si="15">R77/$O$7</f>
        <v>0.60844727272727261</v>
      </c>
      <c r="Y77" s="9">
        <f t="shared" ref="Y77:Y123" si="16">R77/$O$8</f>
        <v>0.27887166666666663</v>
      </c>
      <c r="Z77" s="13"/>
      <c r="AA77" s="11" t="s">
        <v>30</v>
      </c>
    </row>
    <row r="78" spans="1:27">
      <c r="A78" s="8"/>
      <c r="B78" s="8" t="s">
        <v>166</v>
      </c>
      <c r="C78" s="8">
        <v>7038380</v>
      </c>
      <c r="D78" s="8" t="s">
        <v>167</v>
      </c>
      <c r="E78" s="8">
        <v>1</v>
      </c>
      <c r="F78" s="8" t="s">
        <v>157</v>
      </c>
      <c r="G78" s="8">
        <v>1</v>
      </c>
      <c r="H78" s="8"/>
      <c r="I78" s="8">
        <v>1</v>
      </c>
      <c r="J78" s="8"/>
      <c r="K78" s="8">
        <v>1</v>
      </c>
      <c r="L78" s="8"/>
      <c r="M78" s="8">
        <v>28</v>
      </c>
      <c r="N78" s="8">
        <v>38</v>
      </c>
      <c r="O78" s="8">
        <v>38</v>
      </c>
      <c r="P78" s="8"/>
      <c r="Q78" s="8">
        <f t="shared" si="9"/>
        <v>40432</v>
      </c>
      <c r="R78" s="8">
        <f t="shared" si="10"/>
        <v>202160</v>
      </c>
      <c r="S78" s="8"/>
      <c r="T78" s="9">
        <f t="shared" si="11"/>
        <v>1.782716049382716E-3</v>
      </c>
      <c r="U78" s="9">
        <f t="shared" si="12"/>
        <v>5.5462277091906725E-4</v>
      </c>
      <c r="V78" s="10">
        <f t="shared" si="13"/>
        <v>8.5084175084175085E-3</v>
      </c>
      <c r="W78" s="9">
        <f t="shared" si="14"/>
        <v>4.6796296296296299E-3</v>
      </c>
      <c r="X78" s="9">
        <f t="shared" si="15"/>
        <v>2.5525252525252524E-3</v>
      </c>
      <c r="Y78" s="9">
        <f t="shared" si="16"/>
        <v>1.1699074074074075E-3</v>
      </c>
      <c r="Z78" s="11"/>
      <c r="AA78" s="11" t="s">
        <v>8</v>
      </c>
    </row>
    <row r="79" spans="1:27">
      <c r="A79" s="8"/>
      <c r="B79" s="8" t="s">
        <v>168</v>
      </c>
      <c r="C79" s="8">
        <v>2018087</v>
      </c>
      <c r="D79" s="8" t="s">
        <v>169</v>
      </c>
      <c r="E79" s="8">
        <v>1</v>
      </c>
      <c r="F79" s="8" t="s">
        <v>34</v>
      </c>
      <c r="G79" s="8"/>
      <c r="H79" s="8"/>
      <c r="I79" s="8">
        <v>1</v>
      </c>
      <c r="J79" s="8"/>
      <c r="K79" s="8">
        <v>1</v>
      </c>
      <c r="L79" s="8"/>
      <c r="M79" s="8">
        <v>691</v>
      </c>
      <c r="N79" s="8">
        <v>650</v>
      </c>
      <c r="O79" s="8">
        <v>35</v>
      </c>
      <c r="P79" s="8"/>
      <c r="Q79" s="8">
        <f t="shared" si="9"/>
        <v>15720250</v>
      </c>
      <c r="R79" s="8">
        <f t="shared" si="10"/>
        <v>78601250</v>
      </c>
      <c r="S79" s="8"/>
      <c r="T79" s="10">
        <f t="shared" si="11"/>
        <v>0.69313271604938276</v>
      </c>
      <c r="U79" s="9">
        <f t="shared" si="12"/>
        <v>0.21564128943758573</v>
      </c>
      <c r="V79" s="9">
        <f t="shared" si="13"/>
        <v>3.3081334175084174</v>
      </c>
      <c r="W79" s="9">
        <f t="shared" si="14"/>
        <v>1.8194733796296296</v>
      </c>
      <c r="X79" s="9">
        <f t="shared" si="15"/>
        <v>0.99244002525252528</v>
      </c>
      <c r="Y79" s="9">
        <f t="shared" si="16"/>
        <v>0.45486834490740741</v>
      </c>
      <c r="Z79" s="11"/>
      <c r="AA79" s="11" t="s">
        <v>5</v>
      </c>
    </row>
    <row r="80" spans="1:27">
      <c r="A80" s="7">
        <v>16</v>
      </c>
      <c r="B80" s="7" t="s">
        <v>170</v>
      </c>
      <c r="C80" s="8">
        <v>7038262</v>
      </c>
      <c r="D80" s="8" t="s">
        <v>171</v>
      </c>
      <c r="E80" s="8">
        <v>1</v>
      </c>
      <c r="F80" s="8" t="s">
        <v>34</v>
      </c>
      <c r="G80" s="8"/>
      <c r="H80" s="8"/>
      <c r="I80" s="8"/>
      <c r="J80" s="8"/>
      <c r="K80" s="8"/>
      <c r="L80" s="8">
        <v>1</v>
      </c>
      <c r="M80" s="8">
        <v>1206</v>
      </c>
      <c r="N80" s="8">
        <v>876</v>
      </c>
      <c r="O80" s="8">
        <v>68</v>
      </c>
      <c r="P80" s="8"/>
      <c r="Q80" s="8">
        <f t="shared" si="9"/>
        <v>71839008</v>
      </c>
      <c r="R80" s="8">
        <f t="shared" si="10"/>
        <v>359195040</v>
      </c>
      <c r="S80" s="8"/>
      <c r="T80" s="9">
        <f t="shared" si="11"/>
        <v>3.167504761904762</v>
      </c>
      <c r="U80" s="9">
        <f t="shared" si="12"/>
        <v>0.98544592592592595</v>
      </c>
      <c r="V80" s="9">
        <f t="shared" si="13"/>
        <v>15.117636363636363</v>
      </c>
      <c r="W80" s="9">
        <f t="shared" si="14"/>
        <v>8.3147000000000002</v>
      </c>
      <c r="X80" s="9">
        <f t="shared" si="15"/>
        <v>4.535290909090909</v>
      </c>
      <c r="Y80" s="9">
        <f t="shared" si="16"/>
        <v>2.0786750000000001</v>
      </c>
      <c r="Z80" s="13"/>
      <c r="AA80" s="11" t="s">
        <v>30</v>
      </c>
    </row>
    <row r="81" spans="1:27">
      <c r="A81" s="8"/>
      <c r="B81" s="8" t="s">
        <v>172</v>
      </c>
      <c r="C81" s="8">
        <v>7038263</v>
      </c>
      <c r="D81" s="8" t="s">
        <v>173</v>
      </c>
      <c r="E81" s="8">
        <v>1</v>
      </c>
      <c r="F81" s="8" t="s">
        <v>34</v>
      </c>
      <c r="G81" s="8"/>
      <c r="H81" s="8"/>
      <c r="I81" s="8">
        <v>1</v>
      </c>
      <c r="J81" s="8"/>
      <c r="K81" s="8">
        <v>1</v>
      </c>
      <c r="L81" s="8"/>
      <c r="M81" s="8">
        <v>1285</v>
      </c>
      <c r="N81" s="8">
        <v>956</v>
      </c>
      <c r="O81" s="8">
        <v>68</v>
      </c>
      <c r="P81" s="8"/>
      <c r="Q81" s="8">
        <f t="shared" si="9"/>
        <v>83535280</v>
      </c>
      <c r="R81" s="8">
        <f t="shared" si="10"/>
        <v>417676400</v>
      </c>
      <c r="S81" s="8"/>
      <c r="T81" s="9">
        <f t="shared" si="11"/>
        <v>3.6832134038800706</v>
      </c>
      <c r="U81" s="9">
        <f t="shared" si="12"/>
        <v>1.1458886145404663</v>
      </c>
      <c r="V81" s="9">
        <f t="shared" si="13"/>
        <v>17.578973063973063</v>
      </c>
      <c r="W81" s="9">
        <f t="shared" si="14"/>
        <v>9.6684351851851851</v>
      </c>
      <c r="X81" s="9">
        <f t="shared" si="15"/>
        <v>5.2736919191919194</v>
      </c>
      <c r="Y81" s="9">
        <f t="shared" si="16"/>
        <v>2.4171087962962963</v>
      </c>
      <c r="Z81" s="13"/>
      <c r="AA81" s="11" t="s">
        <v>30</v>
      </c>
    </row>
    <row r="82" spans="1:27">
      <c r="A82" s="8"/>
      <c r="B82" s="8" t="s">
        <v>174</v>
      </c>
      <c r="C82" s="8">
        <v>7022881</v>
      </c>
      <c r="D82" s="8" t="s">
        <v>175</v>
      </c>
      <c r="E82" s="8">
        <v>1</v>
      </c>
      <c r="F82" s="8" t="s">
        <v>34</v>
      </c>
      <c r="G82" s="8">
        <v>1</v>
      </c>
      <c r="H82" s="8"/>
      <c r="I82" s="8">
        <v>1</v>
      </c>
      <c r="J82" s="8"/>
      <c r="K82" s="8">
        <v>1</v>
      </c>
      <c r="L82" s="8"/>
      <c r="M82" s="8"/>
      <c r="N82" s="8"/>
      <c r="O82" s="8"/>
      <c r="P82" s="8"/>
      <c r="Q82" s="8">
        <f t="shared" si="9"/>
        <v>0</v>
      </c>
      <c r="R82" s="8">
        <f t="shared" si="10"/>
        <v>0</v>
      </c>
      <c r="S82" s="8"/>
      <c r="T82" s="9">
        <f t="shared" si="11"/>
        <v>0</v>
      </c>
      <c r="U82" s="9">
        <f t="shared" si="12"/>
        <v>0</v>
      </c>
      <c r="V82" s="9">
        <f t="shared" si="13"/>
        <v>0</v>
      </c>
      <c r="W82" s="9">
        <f t="shared" si="14"/>
        <v>0</v>
      </c>
      <c r="X82" s="9">
        <f t="shared" si="15"/>
        <v>0</v>
      </c>
      <c r="Y82" s="9">
        <f t="shared" si="16"/>
        <v>0</v>
      </c>
      <c r="Z82" s="11"/>
      <c r="AA82" s="11"/>
    </row>
    <row r="83" spans="1:27">
      <c r="A83" s="8"/>
      <c r="B83" s="8" t="s">
        <v>176</v>
      </c>
      <c r="C83" s="8">
        <v>2008424</v>
      </c>
      <c r="D83" s="8" t="s">
        <v>177</v>
      </c>
      <c r="E83" s="8">
        <v>2</v>
      </c>
      <c r="F83" s="8"/>
      <c r="G83" s="8">
        <v>1</v>
      </c>
      <c r="H83" s="8"/>
      <c r="I83" s="8">
        <v>1</v>
      </c>
      <c r="J83" s="8"/>
      <c r="K83" s="8">
        <v>1</v>
      </c>
      <c r="L83" s="8"/>
      <c r="M83" s="8"/>
      <c r="N83" s="8"/>
      <c r="O83" s="8"/>
      <c r="P83" s="8"/>
      <c r="Q83" s="8">
        <f t="shared" si="9"/>
        <v>0</v>
      </c>
      <c r="R83" s="8">
        <f t="shared" si="10"/>
        <v>0</v>
      </c>
      <c r="S83" s="8"/>
      <c r="T83" s="9">
        <f t="shared" si="11"/>
        <v>0</v>
      </c>
      <c r="U83" s="9">
        <f t="shared" si="12"/>
        <v>0</v>
      </c>
      <c r="V83" s="9">
        <f t="shared" si="13"/>
        <v>0</v>
      </c>
      <c r="W83" s="9">
        <f t="shared" si="14"/>
        <v>0</v>
      </c>
      <c r="X83" s="9">
        <f t="shared" si="15"/>
        <v>0</v>
      </c>
      <c r="Y83" s="9">
        <f t="shared" si="16"/>
        <v>0</v>
      </c>
      <c r="Z83" s="11"/>
      <c r="AA83" s="11"/>
    </row>
    <row r="84" spans="1:27">
      <c r="A84" s="8"/>
      <c r="B84" s="8" t="s">
        <v>107</v>
      </c>
      <c r="C84" s="8">
        <v>2000277</v>
      </c>
      <c r="D84" s="8" t="s">
        <v>108</v>
      </c>
      <c r="E84" s="8">
        <v>4</v>
      </c>
      <c r="F84" s="8" t="s">
        <v>34</v>
      </c>
      <c r="G84" s="8"/>
      <c r="H84" s="8"/>
      <c r="I84" s="8">
        <v>1</v>
      </c>
      <c r="J84" s="8"/>
      <c r="K84" s="8">
        <v>1</v>
      </c>
      <c r="L84" s="8"/>
      <c r="M84" s="8"/>
      <c r="N84" s="8"/>
      <c r="O84" s="8"/>
      <c r="P84" s="8"/>
      <c r="Q84" s="8">
        <f t="shared" si="9"/>
        <v>0</v>
      </c>
      <c r="R84" s="8">
        <f t="shared" si="10"/>
        <v>0</v>
      </c>
      <c r="S84" s="8"/>
      <c r="T84" s="9">
        <f t="shared" si="11"/>
        <v>0</v>
      </c>
      <c r="U84" s="9">
        <f t="shared" si="12"/>
        <v>0</v>
      </c>
      <c r="V84" s="9">
        <f t="shared" si="13"/>
        <v>0</v>
      </c>
      <c r="W84" s="9">
        <f t="shared" si="14"/>
        <v>0</v>
      </c>
      <c r="X84" s="9">
        <f t="shared" si="15"/>
        <v>0</v>
      </c>
      <c r="Y84" s="9">
        <f t="shared" si="16"/>
        <v>0</v>
      </c>
      <c r="Z84" s="11"/>
      <c r="AA84" s="11"/>
    </row>
    <row r="85" spans="1:27">
      <c r="A85" s="8"/>
      <c r="B85" s="8" t="s">
        <v>178</v>
      </c>
      <c r="C85" s="8">
        <v>2008425</v>
      </c>
      <c r="D85" s="8" t="s">
        <v>179</v>
      </c>
      <c r="E85" s="8"/>
      <c r="F85" s="8"/>
      <c r="G85" s="8"/>
      <c r="H85" s="8"/>
      <c r="I85" s="8">
        <v>1</v>
      </c>
      <c r="J85" s="8"/>
      <c r="K85" s="8">
        <v>1</v>
      </c>
      <c r="L85" s="8"/>
      <c r="M85" s="8"/>
      <c r="N85" s="8"/>
      <c r="O85" s="8"/>
      <c r="P85" s="8"/>
      <c r="Q85" s="8">
        <f t="shared" si="9"/>
        <v>0</v>
      </c>
      <c r="R85" s="8">
        <f t="shared" si="10"/>
        <v>0</v>
      </c>
      <c r="S85" s="8"/>
      <c r="T85" s="9">
        <f t="shared" si="11"/>
        <v>0</v>
      </c>
      <c r="U85" s="9">
        <f t="shared" si="12"/>
        <v>0</v>
      </c>
      <c r="V85" s="9">
        <f t="shared" si="13"/>
        <v>0</v>
      </c>
      <c r="W85" s="9">
        <f t="shared" si="14"/>
        <v>0</v>
      </c>
      <c r="X85" s="9">
        <f t="shared" si="15"/>
        <v>0</v>
      </c>
      <c r="Y85" s="9">
        <f t="shared" si="16"/>
        <v>0</v>
      </c>
      <c r="Z85" s="11"/>
      <c r="AA85" s="11"/>
    </row>
    <row r="86" spans="1:27">
      <c r="A86" s="8"/>
      <c r="B86" s="8" t="s">
        <v>180</v>
      </c>
      <c r="C86" s="8">
        <v>7024278</v>
      </c>
      <c r="D86" s="8" t="s">
        <v>181</v>
      </c>
      <c r="E86" s="8"/>
      <c r="F86" s="8"/>
      <c r="G86" s="8">
        <v>1</v>
      </c>
      <c r="H86" s="8"/>
      <c r="I86" s="8">
        <v>1</v>
      </c>
      <c r="J86" s="8"/>
      <c r="K86" s="8">
        <v>1</v>
      </c>
      <c r="L86" s="8"/>
      <c r="M86" s="8"/>
      <c r="N86" s="8"/>
      <c r="O86" s="8"/>
      <c r="P86" s="8"/>
      <c r="Q86" s="8">
        <f t="shared" si="9"/>
        <v>0</v>
      </c>
      <c r="R86" s="8">
        <f t="shared" si="10"/>
        <v>0</v>
      </c>
      <c r="S86" s="8"/>
      <c r="T86" s="9">
        <f t="shared" si="11"/>
        <v>0</v>
      </c>
      <c r="U86" s="9">
        <f t="shared" si="12"/>
        <v>0</v>
      </c>
      <c r="V86" s="9">
        <f t="shared" si="13"/>
        <v>0</v>
      </c>
      <c r="W86" s="9">
        <f t="shared" si="14"/>
        <v>0</v>
      </c>
      <c r="X86" s="9">
        <f t="shared" si="15"/>
        <v>0</v>
      </c>
      <c r="Y86" s="9">
        <f t="shared" si="16"/>
        <v>0</v>
      </c>
      <c r="Z86" s="11"/>
      <c r="AA86" s="11"/>
    </row>
    <row r="87" spans="1:27">
      <c r="A87" s="8"/>
      <c r="B87" s="8" t="s">
        <v>182</v>
      </c>
      <c r="C87" s="8">
        <v>2008426</v>
      </c>
      <c r="D87" s="8" t="s">
        <v>183</v>
      </c>
      <c r="E87" s="8"/>
      <c r="F87" s="8"/>
      <c r="G87" s="8"/>
      <c r="H87" s="8"/>
      <c r="I87" s="8">
        <v>1</v>
      </c>
      <c r="J87" s="8"/>
      <c r="K87" s="8">
        <v>1</v>
      </c>
      <c r="L87" s="8"/>
      <c r="M87" s="8"/>
      <c r="N87" s="8"/>
      <c r="O87" s="8"/>
      <c r="P87" s="8"/>
      <c r="Q87" s="8">
        <f t="shared" si="9"/>
        <v>0</v>
      </c>
      <c r="R87" s="8">
        <f t="shared" si="10"/>
        <v>0</v>
      </c>
      <c r="S87" s="8"/>
      <c r="T87" s="9">
        <f t="shared" si="11"/>
        <v>0</v>
      </c>
      <c r="U87" s="9">
        <f t="shared" si="12"/>
        <v>0</v>
      </c>
      <c r="V87" s="9">
        <f t="shared" si="13"/>
        <v>0</v>
      </c>
      <c r="W87" s="9">
        <f t="shared" si="14"/>
        <v>0</v>
      </c>
      <c r="X87" s="9">
        <f t="shared" si="15"/>
        <v>0</v>
      </c>
      <c r="Y87" s="9">
        <f t="shared" si="16"/>
        <v>0</v>
      </c>
      <c r="Z87" s="11"/>
      <c r="AA87" s="11"/>
    </row>
    <row r="88" spans="1:27">
      <c r="A88" s="8"/>
      <c r="B88" s="8" t="s">
        <v>184</v>
      </c>
      <c r="C88" s="8">
        <v>7025306</v>
      </c>
      <c r="D88" s="8" t="s">
        <v>185</v>
      </c>
      <c r="E88" s="8">
        <v>3</v>
      </c>
      <c r="F88" s="8"/>
      <c r="G88" s="8">
        <v>1</v>
      </c>
      <c r="H88" s="8"/>
      <c r="I88" s="8">
        <v>1</v>
      </c>
      <c r="J88" s="8"/>
      <c r="K88" s="8">
        <v>1</v>
      </c>
      <c r="L88" s="8"/>
      <c r="M88" s="8"/>
      <c r="N88" s="8"/>
      <c r="O88" s="8"/>
      <c r="P88" s="8"/>
      <c r="Q88" s="8">
        <f t="shared" si="9"/>
        <v>0</v>
      </c>
      <c r="R88" s="8">
        <f t="shared" si="10"/>
        <v>0</v>
      </c>
      <c r="S88" s="8"/>
      <c r="T88" s="9">
        <f t="shared" si="11"/>
        <v>0</v>
      </c>
      <c r="U88" s="9">
        <f t="shared" si="12"/>
        <v>0</v>
      </c>
      <c r="V88" s="9">
        <f t="shared" si="13"/>
        <v>0</v>
      </c>
      <c r="W88" s="9">
        <f t="shared" si="14"/>
        <v>0</v>
      </c>
      <c r="X88" s="9">
        <f t="shared" si="15"/>
        <v>0</v>
      </c>
      <c r="Y88" s="9">
        <f t="shared" si="16"/>
        <v>0</v>
      </c>
      <c r="Z88" s="11"/>
      <c r="AA88" s="11"/>
    </row>
    <row r="89" spans="1:27">
      <c r="A89" s="8"/>
      <c r="B89" s="8" t="s">
        <v>186</v>
      </c>
      <c r="C89" s="8">
        <v>2017466</v>
      </c>
      <c r="D89" s="8" t="s">
        <v>187</v>
      </c>
      <c r="E89" s="8">
        <v>2</v>
      </c>
      <c r="F89" s="8" t="s">
        <v>34</v>
      </c>
      <c r="G89" s="8"/>
      <c r="H89" s="8"/>
      <c r="I89" s="8">
        <v>1</v>
      </c>
      <c r="J89" s="8"/>
      <c r="K89" s="8">
        <v>1</v>
      </c>
      <c r="L89" s="8"/>
      <c r="M89" s="8">
        <v>52</v>
      </c>
      <c r="N89" s="8">
        <v>41</v>
      </c>
      <c r="O89" s="8">
        <v>6</v>
      </c>
      <c r="P89" s="8"/>
      <c r="Q89" s="8">
        <f t="shared" si="9"/>
        <v>25584</v>
      </c>
      <c r="R89" s="8">
        <f t="shared" si="10"/>
        <v>127920</v>
      </c>
      <c r="S89" s="8"/>
      <c r="T89" s="9">
        <f t="shared" si="11"/>
        <v>1.128042328042328E-3</v>
      </c>
      <c r="U89" s="9">
        <f t="shared" si="12"/>
        <v>3.5094650205761319E-4</v>
      </c>
      <c r="V89" s="9">
        <f t="shared" si="13"/>
        <v>5.383838383838384E-3</v>
      </c>
      <c r="W89" s="9">
        <f t="shared" si="14"/>
        <v>2.961111111111111E-3</v>
      </c>
      <c r="X89" s="9">
        <f t="shared" si="15"/>
        <v>1.6151515151515152E-3</v>
      </c>
      <c r="Y89" s="9">
        <f t="shared" si="16"/>
        <v>7.4027777777777774E-4</v>
      </c>
      <c r="Z89" s="11"/>
      <c r="AA89" s="11" t="s">
        <v>8</v>
      </c>
    </row>
    <row r="90" spans="1:27">
      <c r="A90" s="8"/>
      <c r="B90" s="8" t="s">
        <v>188</v>
      </c>
      <c r="C90" s="8">
        <v>7038265</v>
      </c>
      <c r="D90" s="8" t="s">
        <v>189</v>
      </c>
      <c r="E90" s="8">
        <v>4</v>
      </c>
      <c r="F90" s="8" t="s">
        <v>89</v>
      </c>
      <c r="G90" s="8">
        <v>1</v>
      </c>
      <c r="H90" s="8"/>
      <c r="I90" s="8">
        <v>1</v>
      </c>
      <c r="J90" s="8"/>
      <c r="K90" s="8">
        <v>1</v>
      </c>
      <c r="L90" s="8"/>
      <c r="M90" s="8">
        <v>32</v>
      </c>
      <c r="N90" s="8">
        <v>36</v>
      </c>
      <c r="O90" s="8">
        <v>6</v>
      </c>
      <c r="P90" s="8"/>
      <c r="Q90" s="8">
        <f t="shared" si="9"/>
        <v>27648</v>
      </c>
      <c r="R90" s="8">
        <f t="shared" si="10"/>
        <v>138240</v>
      </c>
      <c r="S90" s="8"/>
      <c r="T90" s="9">
        <f t="shared" si="11"/>
        <v>1.219047619047619E-3</v>
      </c>
      <c r="U90" s="9">
        <f t="shared" si="12"/>
        <v>3.7925925925925925E-4</v>
      </c>
      <c r="V90" s="9">
        <f t="shared" si="13"/>
        <v>5.8181818181818178E-3</v>
      </c>
      <c r="W90" s="9">
        <f t="shared" si="14"/>
        <v>3.2000000000000002E-3</v>
      </c>
      <c r="X90" s="9">
        <f t="shared" si="15"/>
        <v>1.7454545454545455E-3</v>
      </c>
      <c r="Y90" s="9">
        <f t="shared" si="16"/>
        <v>8.0000000000000004E-4</v>
      </c>
      <c r="Z90" s="11"/>
      <c r="AA90" s="11" t="s">
        <v>8</v>
      </c>
    </row>
    <row r="91" spans="1:27">
      <c r="A91" s="8"/>
      <c r="B91" s="8" t="s">
        <v>190</v>
      </c>
      <c r="C91" s="8">
        <v>2017345</v>
      </c>
      <c r="D91" s="8" t="s">
        <v>191</v>
      </c>
      <c r="E91" s="8">
        <v>4</v>
      </c>
      <c r="F91" s="8" t="s">
        <v>192</v>
      </c>
      <c r="G91" s="8"/>
      <c r="H91" s="8"/>
      <c r="I91" s="8">
        <v>1</v>
      </c>
      <c r="J91" s="8"/>
      <c r="K91" s="8">
        <v>1</v>
      </c>
      <c r="L91" s="8"/>
      <c r="M91" s="8">
        <v>12</v>
      </c>
      <c r="N91" s="8">
        <v>8</v>
      </c>
      <c r="O91" s="8">
        <v>8</v>
      </c>
      <c r="P91" s="8"/>
      <c r="Q91" s="8">
        <f t="shared" si="9"/>
        <v>3072</v>
      </c>
      <c r="R91" s="8">
        <f t="shared" si="10"/>
        <v>15360</v>
      </c>
      <c r="S91" s="8"/>
      <c r="T91" s="9">
        <f t="shared" si="11"/>
        <v>1.3544973544973545E-4</v>
      </c>
      <c r="U91" s="9">
        <f t="shared" si="12"/>
        <v>4.2139917695473253E-5</v>
      </c>
      <c r="V91" s="14">
        <f t="shared" si="13"/>
        <v>6.4646464646464649E-4</v>
      </c>
      <c r="W91" s="9">
        <f t="shared" si="14"/>
        <v>3.5555555555555557E-4</v>
      </c>
      <c r="X91" s="9">
        <f t="shared" si="15"/>
        <v>1.9393939393939395E-4</v>
      </c>
      <c r="Y91" s="9">
        <f t="shared" si="16"/>
        <v>8.8888888888888893E-5</v>
      </c>
      <c r="Z91" s="11"/>
      <c r="AA91" s="11" t="s">
        <v>8</v>
      </c>
    </row>
    <row r="92" spans="1:27">
      <c r="A92" s="8"/>
      <c r="B92" s="8" t="s">
        <v>193</v>
      </c>
      <c r="C92" s="8">
        <v>2019728</v>
      </c>
      <c r="D92" s="8" t="s">
        <v>194</v>
      </c>
      <c r="E92" s="8">
        <v>1</v>
      </c>
      <c r="F92" s="8" t="s">
        <v>34</v>
      </c>
      <c r="G92" s="8"/>
      <c r="H92" s="8"/>
      <c r="I92" s="8">
        <v>1</v>
      </c>
      <c r="J92" s="8"/>
      <c r="K92" s="8">
        <v>1</v>
      </c>
      <c r="L92" s="8"/>
      <c r="M92" s="8">
        <v>1117</v>
      </c>
      <c r="N92" s="8">
        <v>586</v>
      </c>
      <c r="O92" s="8">
        <v>1.6</v>
      </c>
      <c r="P92" s="8"/>
      <c r="Q92" s="8">
        <f t="shared" si="9"/>
        <v>1047299.2000000001</v>
      </c>
      <c r="R92" s="8">
        <f t="shared" si="10"/>
        <v>5236496</v>
      </c>
      <c r="S92" s="8"/>
      <c r="T92" s="9">
        <f t="shared" si="11"/>
        <v>4.617721340388007E-2</v>
      </c>
      <c r="U92" s="9">
        <f t="shared" si="12"/>
        <v>1.4366244170096023E-2</v>
      </c>
      <c r="V92" s="9">
        <f t="shared" si="13"/>
        <v>0.2203912457912458</v>
      </c>
      <c r="W92" s="9">
        <f t="shared" si="14"/>
        <v>0.12121518518518519</v>
      </c>
      <c r="X92" s="9">
        <f t="shared" si="15"/>
        <v>6.6117373737373739E-2</v>
      </c>
      <c r="Y92" s="9">
        <f t="shared" si="16"/>
        <v>3.0303796296296297E-2</v>
      </c>
      <c r="Z92" s="11"/>
      <c r="AA92" s="11" t="s">
        <v>30</v>
      </c>
    </row>
    <row r="93" spans="1:27">
      <c r="A93" s="8"/>
      <c r="B93" s="8" t="s">
        <v>195</v>
      </c>
      <c r="C93" s="8">
        <v>7038264</v>
      </c>
      <c r="D93" s="8" t="s">
        <v>196</v>
      </c>
      <c r="E93" s="8">
        <v>2</v>
      </c>
      <c r="F93" s="8">
        <v>3</v>
      </c>
      <c r="G93" s="8">
        <v>1</v>
      </c>
      <c r="H93" s="8"/>
      <c r="I93" s="8">
        <v>1</v>
      </c>
      <c r="J93" s="8"/>
      <c r="K93" s="8">
        <v>1</v>
      </c>
      <c r="L93" s="8"/>
      <c r="M93" s="8">
        <v>301</v>
      </c>
      <c r="N93" s="8">
        <v>24</v>
      </c>
      <c r="O93" s="8">
        <v>15</v>
      </c>
      <c r="P93" s="8"/>
      <c r="Q93" s="8">
        <f t="shared" si="9"/>
        <v>216720</v>
      </c>
      <c r="R93" s="8">
        <f t="shared" si="10"/>
        <v>1083600</v>
      </c>
      <c r="S93" s="8"/>
      <c r="T93" s="9">
        <f t="shared" si="11"/>
        <v>9.555555555555555E-3</v>
      </c>
      <c r="U93" s="9">
        <f t="shared" si="12"/>
        <v>2.9728395061728394E-3</v>
      </c>
      <c r="V93" s="9">
        <f t="shared" si="13"/>
        <v>4.5606060606060608E-2</v>
      </c>
      <c r="W93" s="9">
        <f t="shared" si="14"/>
        <v>2.5083333333333332E-2</v>
      </c>
      <c r="X93" s="9">
        <f t="shared" si="15"/>
        <v>1.3681818181818182E-2</v>
      </c>
      <c r="Y93" s="9">
        <f t="shared" si="16"/>
        <v>6.2708333333333331E-3</v>
      </c>
      <c r="Z93" s="11"/>
      <c r="AA93" s="11" t="s">
        <v>9</v>
      </c>
    </row>
    <row r="94" spans="1:27">
      <c r="A94" s="8"/>
      <c r="B94" s="8" t="s">
        <v>197</v>
      </c>
      <c r="C94" s="8">
        <v>2019090</v>
      </c>
      <c r="D94" s="8" t="s">
        <v>198</v>
      </c>
      <c r="E94" s="8">
        <v>1</v>
      </c>
      <c r="F94" s="8"/>
      <c r="G94" s="8"/>
      <c r="H94" s="8"/>
      <c r="I94" s="8">
        <v>1</v>
      </c>
      <c r="J94" s="8"/>
      <c r="K94" s="8">
        <v>1</v>
      </c>
      <c r="L94" s="8"/>
      <c r="M94" s="8"/>
      <c r="N94" s="8"/>
      <c r="O94" s="8"/>
      <c r="P94" s="8"/>
      <c r="Q94" s="8">
        <f t="shared" si="9"/>
        <v>0</v>
      </c>
      <c r="R94" s="8">
        <f t="shared" si="10"/>
        <v>0</v>
      </c>
      <c r="S94" s="8"/>
      <c r="T94" s="9">
        <f t="shared" si="11"/>
        <v>0</v>
      </c>
      <c r="U94" s="9">
        <f t="shared" si="12"/>
        <v>0</v>
      </c>
      <c r="V94" s="9">
        <f t="shared" si="13"/>
        <v>0</v>
      </c>
      <c r="W94" s="9">
        <f t="shared" si="14"/>
        <v>0</v>
      </c>
      <c r="X94" s="9">
        <f t="shared" si="15"/>
        <v>0</v>
      </c>
      <c r="Y94" s="9">
        <f t="shared" si="16"/>
        <v>0</v>
      </c>
      <c r="Z94" s="11"/>
      <c r="AA94" s="11"/>
    </row>
    <row r="95" spans="1:27">
      <c r="A95" s="7">
        <v>17</v>
      </c>
      <c r="B95" s="7" t="s">
        <v>199</v>
      </c>
      <c r="C95" s="8">
        <v>7038321</v>
      </c>
      <c r="D95" s="8" t="s">
        <v>200</v>
      </c>
      <c r="E95" s="8">
        <v>1</v>
      </c>
      <c r="F95" s="8" t="s">
        <v>34</v>
      </c>
      <c r="G95" s="8"/>
      <c r="H95" s="8"/>
      <c r="I95" s="8"/>
      <c r="J95" s="8"/>
      <c r="K95" s="8"/>
      <c r="L95" s="8">
        <v>1</v>
      </c>
      <c r="M95" s="8"/>
      <c r="N95" s="8"/>
      <c r="O95" s="8"/>
      <c r="P95" s="8"/>
      <c r="Q95" s="8">
        <f t="shared" si="9"/>
        <v>0</v>
      </c>
      <c r="R95" s="8">
        <f t="shared" si="10"/>
        <v>0</v>
      </c>
      <c r="S95" s="8"/>
      <c r="T95" s="9">
        <f t="shared" si="11"/>
        <v>0</v>
      </c>
      <c r="U95" s="9">
        <f t="shared" si="12"/>
        <v>0</v>
      </c>
      <c r="V95" s="9">
        <f t="shared" si="13"/>
        <v>0</v>
      </c>
      <c r="W95" s="9">
        <f t="shared" si="14"/>
        <v>0</v>
      </c>
      <c r="X95" s="9">
        <f t="shared" si="15"/>
        <v>0</v>
      </c>
      <c r="Y95" s="9">
        <f t="shared" si="16"/>
        <v>0</v>
      </c>
      <c r="Z95" s="11"/>
      <c r="AA95" s="11"/>
    </row>
    <row r="96" spans="1:27">
      <c r="A96" s="8"/>
      <c r="B96" s="8" t="s">
        <v>201</v>
      </c>
      <c r="C96" s="8">
        <v>7038322</v>
      </c>
      <c r="D96" s="8" t="s">
        <v>202</v>
      </c>
      <c r="E96" s="8">
        <v>1</v>
      </c>
      <c r="F96" s="8">
        <v>12</v>
      </c>
      <c r="G96" s="8">
        <v>1</v>
      </c>
      <c r="H96" s="8"/>
      <c r="I96" s="8">
        <v>1</v>
      </c>
      <c r="J96" s="8"/>
      <c r="K96" s="8">
        <v>1</v>
      </c>
      <c r="L96" s="8"/>
      <c r="M96" s="8"/>
      <c r="N96" s="8"/>
      <c r="O96" s="8"/>
      <c r="P96" s="8"/>
      <c r="Q96" s="8">
        <f t="shared" si="9"/>
        <v>0</v>
      </c>
      <c r="R96" s="8">
        <f t="shared" si="10"/>
        <v>0</v>
      </c>
      <c r="S96" s="8"/>
      <c r="T96" s="9">
        <f t="shared" si="11"/>
        <v>0</v>
      </c>
      <c r="U96" s="9">
        <f t="shared" si="12"/>
        <v>0</v>
      </c>
      <c r="V96" s="9">
        <f t="shared" si="13"/>
        <v>0</v>
      </c>
      <c r="W96" s="9">
        <f t="shared" si="14"/>
        <v>0</v>
      </c>
      <c r="X96" s="9">
        <f t="shared" si="15"/>
        <v>0</v>
      </c>
      <c r="Y96" s="9">
        <f t="shared" si="16"/>
        <v>0</v>
      </c>
      <c r="Z96" s="11"/>
      <c r="AA96" s="11"/>
    </row>
    <row r="97" spans="1:27">
      <c r="A97" s="8"/>
      <c r="B97" s="8" t="s">
        <v>203</v>
      </c>
      <c r="C97" s="8">
        <v>7038323</v>
      </c>
      <c r="D97" s="8" t="s">
        <v>204</v>
      </c>
      <c r="E97" s="8">
        <v>1</v>
      </c>
      <c r="F97" s="8">
        <v>12</v>
      </c>
      <c r="G97" s="8">
        <v>1</v>
      </c>
      <c r="H97" s="8"/>
      <c r="I97" s="8">
        <v>1</v>
      </c>
      <c r="J97" s="8"/>
      <c r="K97" s="8">
        <v>1</v>
      </c>
      <c r="L97" s="8"/>
      <c r="M97" s="8"/>
      <c r="N97" s="8"/>
      <c r="O97" s="8"/>
      <c r="P97" s="8"/>
      <c r="Q97" s="8">
        <f t="shared" si="9"/>
        <v>0</v>
      </c>
      <c r="R97" s="8">
        <f t="shared" si="10"/>
        <v>0</v>
      </c>
      <c r="S97" s="8"/>
      <c r="T97" s="9">
        <f t="shared" si="11"/>
        <v>0</v>
      </c>
      <c r="U97" s="9">
        <f t="shared" si="12"/>
        <v>0</v>
      </c>
      <c r="V97" s="9">
        <f t="shared" si="13"/>
        <v>0</v>
      </c>
      <c r="W97" s="9">
        <f t="shared" si="14"/>
        <v>0</v>
      </c>
      <c r="X97" s="9">
        <f t="shared" si="15"/>
        <v>0</v>
      </c>
      <c r="Y97" s="9">
        <f t="shared" si="16"/>
        <v>0</v>
      </c>
      <c r="Z97" s="11"/>
      <c r="AA97" s="11"/>
    </row>
    <row r="98" spans="1:27">
      <c r="A98" s="8"/>
      <c r="B98" s="8" t="s">
        <v>205</v>
      </c>
      <c r="C98" s="8">
        <v>7038324</v>
      </c>
      <c r="D98" s="8" t="s">
        <v>206</v>
      </c>
      <c r="E98" s="8">
        <v>1</v>
      </c>
      <c r="F98" s="8">
        <v>12</v>
      </c>
      <c r="G98" s="8">
        <v>1</v>
      </c>
      <c r="H98" s="8"/>
      <c r="I98" s="8">
        <v>1</v>
      </c>
      <c r="J98" s="8"/>
      <c r="K98" s="8">
        <v>1</v>
      </c>
      <c r="L98" s="8"/>
      <c r="M98" s="8"/>
      <c r="N98" s="8"/>
      <c r="O98" s="8"/>
      <c r="P98" s="8"/>
      <c r="Q98" s="8">
        <f t="shared" si="9"/>
        <v>0</v>
      </c>
      <c r="R98" s="8">
        <f t="shared" si="10"/>
        <v>0</v>
      </c>
      <c r="S98" s="8"/>
      <c r="T98" s="9">
        <f t="shared" si="11"/>
        <v>0</v>
      </c>
      <c r="U98" s="9">
        <f t="shared" si="12"/>
        <v>0</v>
      </c>
      <c r="V98" s="9">
        <f t="shared" si="13"/>
        <v>0</v>
      </c>
      <c r="W98" s="9">
        <f t="shared" si="14"/>
        <v>0</v>
      </c>
      <c r="X98" s="9">
        <f t="shared" si="15"/>
        <v>0</v>
      </c>
      <c r="Y98" s="9">
        <f t="shared" si="16"/>
        <v>0</v>
      </c>
      <c r="Z98" s="11"/>
      <c r="AA98" s="11"/>
    </row>
    <row r="99" spans="1:27">
      <c r="A99" s="8"/>
      <c r="B99" s="8" t="s">
        <v>207</v>
      </c>
      <c r="C99" s="8">
        <v>2017503</v>
      </c>
      <c r="D99" s="8" t="s">
        <v>208</v>
      </c>
      <c r="E99" s="8">
        <v>1</v>
      </c>
      <c r="F99" s="8">
        <v>8</v>
      </c>
      <c r="G99" s="8">
        <v>1</v>
      </c>
      <c r="H99" s="8"/>
      <c r="I99" s="8">
        <v>1</v>
      </c>
      <c r="J99" s="8"/>
      <c r="K99" s="8">
        <v>1</v>
      </c>
      <c r="L99" s="8"/>
      <c r="M99" s="8"/>
      <c r="N99" s="8"/>
      <c r="O99" s="8"/>
      <c r="P99" s="8"/>
      <c r="Q99" s="8">
        <f t="shared" si="9"/>
        <v>0</v>
      </c>
      <c r="R99" s="8">
        <f t="shared" si="10"/>
        <v>0</v>
      </c>
      <c r="S99" s="8"/>
      <c r="T99" s="9">
        <f t="shared" si="11"/>
        <v>0</v>
      </c>
      <c r="U99" s="9">
        <f t="shared" si="12"/>
        <v>0</v>
      </c>
      <c r="V99" s="9">
        <f t="shared" si="13"/>
        <v>0</v>
      </c>
      <c r="W99" s="9">
        <f t="shared" si="14"/>
        <v>0</v>
      </c>
      <c r="X99" s="9">
        <f t="shared" si="15"/>
        <v>0</v>
      </c>
      <c r="Y99" s="9">
        <f t="shared" si="16"/>
        <v>0</v>
      </c>
      <c r="Z99" s="11"/>
      <c r="AA99" s="11"/>
    </row>
    <row r="100" spans="1:27">
      <c r="A100" s="8"/>
      <c r="B100" s="8" t="s">
        <v>209</v>
      </c>
      <c r="C100" s="8">
        <v>7038325</v>
      </c>
      <c r="D100" s="8" t="s">
        <v>210</v>
      </c>
      <c r="E100" s="8">
        <v>1</v>
      </c>
      <c r="F100" s="8">
        <v>5</v>
      </c>
      <c r="G100" s="8">
        <v>1</v>
      </c>
      <c r="H100" s="8"/>
      <c r="I100" s="8">
        <v>1</v>
      </c>
      <c r="J100" s="8"/>
      <c r="K100" s="8">
        <v>1</v>
      </c>
      <c r="L100" s="8"/>
      <c r="M100" s="8"/>
      <c r="N100" s="8"/>
      <c r="O100" s="8"/>
      <c r="P100" s="8"/>
      <c r="Q100" s="8">
        <f t="shared" si="9"/>
        <v>0</v>
      </c>
      <c r="R100" s="8">
        <f t="shared" si="10"/>
        <v>0</v>
      </c>
      <c r="S100" s="8"/>
      <c r="T100" s="9">
        <f t="shared" si="11"/>
        <v>0</v>
      </c>
      <c r="U100" s="9">
        <f t="shared" si="12"/>
        <v>0</v>
      </c>
      <c r="V100" s="9">
        <f t="shared" si="13"/>
        <v>0</v>
      </c>
      <c r="W100" s="9">
        <f t="shared" si="14"/>
        <v>0</v>
      </c>
      <c r="X100" s="9">
        <f t="shared" si="15"/>
        <v>0</v>
      </c>
      <c r="Y100" s="9">
        <f t="shared" si="16"/>
        <v>0</v>
      </c>
      <c r="Z100" s="11"/>
      <c r="AA100" s="11"/>
    </row>
    <row r="101" spans="1:27">
      <c r="A101" s="8"/>
      <c r="B101" s="8" t="s">
        <v>211</v>
      </c>
      <c r="C101" s="8">
        <v>7038326</v>
      </c>
      <c r="D101" s="8" t="s">
        <v>212</v>
      </c>
      <c r="E101" s="8">
        <v>1</v>
      </c>
      <c r="F101" s="8">
        <v>8</v>
      </c>
      <c r="G101" s="8">
        <v>1</v>
      </c>
      <c r="H101" s="8"/>
      <c r="I101" s="8">
        <v>1</v>
      </c>
      <c r="J101" s="8"/>
      <c r="K101" s="8">
        <v>1</v>
      </c>
      <c r="L101" s="8"/>
      <c r="M101" s="8"/>
      <c r="N101" s="8"/>
      <c r="O101" s="8"/>
      <c r="P101" s="8"/>
      <c r="Q101" s="8">
        <f t="shared" si="9"/>
        <v>0</v>
      </c>
      <c r="R101" s="8">
        <f t="shared" si="10"/>
        <v>0</v>
      </c>
      <c r="S101" s="8"/>
      <c r="T101" s="9">
        <f t="shared" si="11"/>
        <v>0</v>
      </c>
      <c r="U101" s="9">
        <f t="shared" si="12"/>
        <v>0</v>
      </c>
      <c r="V101" s="9">
        <f t="shared" si="13"/>
        <v>0</v>
      </c>
      <c r="W101" s="9">
        <f t="shared" si="14"/>
        <v>0</v>
      </c>
      <c r="X101" s="9">
        <f t="shared" si="15"/>
        <v>0</v>
      </c>
      <c r="Y101" s="9">
        <f t="shared" si="16"/>
        <v>0</v>
      </c>
      <c r="Z101" s="11"/>
      <c r="AA101" s="11"/>
    </row>
    <row r="102" spans="1:27">
      <c r="A102" s="7">
        <v>18</v>
      </c>
      <c r="B102" s="7" t="s">
        <v>213</v>
      </c>
      <c r="C102" s="8">
        <v>7038209</v>
      </c>
      <c r="D102" s="8" t="s">
        <v>214</v>
      </c>
      <c r="E102" s="8">
        <v>1</v>
      </c>
      <c r="F102" s="8" t="s">
        <v>34</v>
      </c>
      <c r="G102" s="8"/>
      <c r="H102" s="8"/>
      <c r="I102" s="8"/>
      <c r="J102" s="8"/>
      <c r="K102" s="8"/>
      <c r="L102" s="8">
        <v>1</v>
      </c>
      <c r="M102" s="8"/>
      <c r="N102" s="8"/>
      <c r="O102" s="8"/>
      <c r="P102" s="8"/>
      <c r="Q102" s="8">
        <f t="shared" si="9"/>
        <v>0</v>
      </c>
      <c r="R102" s="8">
        <f t="shared" si="10"/>
        <v>0</v>
      </c>
      <c r="S102" s="8"/>
      <c r="T102" s="9">
        <f t="shared" si="11"/>
        <v>0</v>
      </c>
      <c r="U102" s="9">
        <f t="shared" si="12"/>
        <v>0</v>
      </c>
      <c r="V102" s="9">
        <f t="shared" si="13"/>
        <v>0</v>
      </c>
      <c r="W102" s="9">
        <f t="shared" si="14"/>
        <v>0</v>
      </c>
      <c r="X102" s="9">
        <f t="shared" si="15"/>
        <v>0</v>
      </c>
      <c r="Y102" s="9">
        <f t="shared" si="16"/>
        <v>0</v>
      </c>
      <c r="Z102" s="11"/>
      <c r="AA102" s="11"/>
    </row>
    <row r="103" spans="1:27">
      <c r="A103" s="8"/>
      <c r="B103" s="8" t="s">
        <v>215</v>
      </c>
      <c r="C103" s="8">
        <v>7030943</v>
      </c>
      <c r="D103" s="8" t="s">
        <v>216</v>
      </c>
      <c r="E103" s="8">
        <v>2</v>
      </c>
      <c r="F103" s="8"/>
      <c r="G103" s="8">
        <v>1</v>
      </c>
      <c r="H103" s="8"/>
      <c r="I103" s="8">
        <v>1</v>
      </c>
      <c r="J103" s="8"/>
      <c r="K103" s="8">
        <v>1</v>
      </c>
      <c r="L103" s="8"/>
      <c r="M103" s="8"/>
      <c r="N103" s="8"/>
      <c r="O103" s="8"/>
      <c r="P103" s="8"/>
      <c r="Q103" s="8">
        <f t="shared" si="9"/>
        <v>0</v>
      </c>
      <c r="R103" s="8">
        <f t="shared" si="10"/>
        <v>0</v>
      </c>
      <c r="S103" s="8"/>
      <c r="T103" s="9">
        <f t="shared" si="11"/>
        <v>0</v>
      </c>
      <c r="U103" s="9">
        <f t="shared" si="12"/>
        <v>0</v>
      </c>
      <c r="V103" s="9">
        <f t="shared" si="13"/>
        <v>0</v>
      </c>
      <c r="W103" s="9">
        <f t="shared" si="14"/>
        <v>0</v>
      </c>
      <c r="X103" s="9">
        <f t="shared" si="15"/>
        <v>0</v>
      </c>
      <c r="Y103" s="9">
        <f t="shared" si="16"/>
        <v>0</v>
      </c>
      <c r="Z103" s="11"/>
      <c r="AA103" s="11"/>
    </row>
    <row r="104" spans="1:27">
      <c r="A104" s="8"/>
      <c r="B104" s="8" t="s">
        <v>217</v>
      </c>
      <c r="C104" s="8">
        <v>7038210</v>
      </c>
      <c r="D104" s="8" t="s">
        <v>218</v>
      </c>
      <c r="E104" s="8">
        <v>1</v>
      </c>
      <c r="F104" s="8">
        <v>3</v>
      </c>
      <c r="G104" s="8">
        <v>1</v>
      </c>
      <c r="H104" s="8"/>
      <c r="I104" s="8">
        <v>1</v>
      </c>
      <c r="J104" s="8"/>
      <c r="K104" s="8">
        <v>1</v>
      </c>
      <c r="L104" s="8"/>
      <c r="M104" s="8">
        <v>365</v>
      </c>
      <c r="N104" s="8">
        <v>180</v>
      </c>
      <c r="O104" s="8">
        <v>40</v>
      </c>
      <c r="P104" s="8"/>
      <c r="Q104" s="8">
        <f t="shared" si="9"/>
        <v>2628000</v>
      </c>
      <c r="R104" s="8">
        <f t="shared" si="10"/>
        <v>13140000</v>
      </c>
      <c r="S104" s="8"/>
      <c r="T104" s="9">
        <f t="shared" si="11"/>
        <v>0.11587301587301588</v>
      </c>
      <c r="U104" s="9">
        <f t="shared" si="12"/>
        <v>3.6049382716049384E-2</v>
      </c>
      <c r="V104" s="9">
        <f t="shared" si="13"/>
        <v>0.55303030303030298</v>
      </c>
      <c r="W104" s="9">
        <f t="shared" si="14"/>
        <v>0.30416666666666664</v>
      </c>
      <c r="X104" s="10">
        <f t="shared" si="15"/>
        <v>0.16590909090909092</v>
      </c>
      <c r="Y104" s="9">
        <f t="shared" si="16"/>
        <v>7.604166666666666E-2</v>
      </c>
      <c r="Z104" s="11"/>
      <c r="AA104" s="11" t="s">
        <v>10</v>
      </c>
    </row>
    <row r="105" spans="1:27">
      <c r="A105" s="7">
        <v>19</v>
      </c>
      <c r="B105" s="7" t="s">
        <v>219</v>
      </c>
      <c r="C105" s="8">
        <v>7036763</v>
      </c>
      <c r="D105" s="8" t="s">
        <v>220</v>
      </c>
      <c r="E105" s="15">
        <v>1</v>
      </c>
      <c r="F105" s="15" t="s">
        <v>34</v>
      </c>
      <c r="G105" s="8"/>
      <c r="H105" s="8"/>
      <c r="I105" s="8"/>
      <c r="J105" s="8"/>
      <c r="K105" s="8"/>
      <c r="L105" s="8">
        <v>1</v>
      </c>
      <c r="M105" s="8"/>
      <c r="N105" s="8"/>
      <c r="O105" s="8"/>
      <c r="P105" s="8"/>
      <c r="Q105" s="8">
        <f t="shared" si="9"/>
        <v>0</v>
      </c>
      <c r="R105" s="8">
        <f t="shared" si="10"/>
        <v>0</v>
      </c>
      <c r="S105" s="8"/>
      <c r="T105" s="9">
        <f t="shared" si="11"/>
        <v>0</v>
      </c>
      <c r="U105" s="9">
        <f t="shared" si="12"/>
        <v>0</v>
      </c>
      <c r="V105" s="9">
        <f t="shared" si="13"/>
        <v>0</v>
      </c>
      <c r="W105" s="9">
        <f t="shared" si="14"/>
        <v>0</v>
      </c>
      <c r="X105" s="9">
        <f t="shared" si="15"/>
        <v>0</v>
      </c>
      <c r="Y105" s="9">
        <f t="shared" si="16"/>
        <v>0</v>
      </c>
      <c r="Z105" s="11"/>
      <c r="AA105" s="11"/>
    </row>
    <row r="106" spans="1:27">
      <c r="A106" s="8"/>
      <c r="B106" s="8" t="s">
        <v>221</v>
      </c>
      <c r="C106" s="8">
        <v>7036764</v>
      </c>
      <c r="D106" s="8" t="s">
        <v>222</v>
      </c>
      <c r="E106" s="8">
        <v>1</v>
      </c>
      <c r="F106" s="8">
        <v>5</v>
      </c>
      <c r="G106" s="8">
        <v>1</v>
      </c>
      <c r="H106" s="8"/>
      <c r="I106" s="8">
        <v>1</v>
      </c>
      <c r="J106" s="8"/>
      <c r="K106" s="8">
        <v>1</v>
      </c>
      <c r="L106" s="8"/>
      <c r="M106" s="8"/>
      <c r="N106" s="8"/>
      <c r="O106" s="8"/>
      <c r="P106" s="8"/>
      <c r="Q106" s="8">
        <f t="shared" si="9"/>
        <v>0</v>
      </c>
      <c r="R106" s="8">
        <f t="shared" si="10"/>
        <v>0</v>
      </c>
      <c r="S106" s="8"/>
      <c r="T106" s="9">
        <f t="shared" si="11"/>
        <v>0</v>
      </c>
      <c r="U106" s="9">
        <f t="shared" si="12"/>
        <v>0</v>
      </c>
      <c r="V106" s="9">
        <f t="shared" si="13"/>
        <v>0</v>
      </c>
      <c r="W106" s="9">
        <f t="shared" si="14"/>
        <v>0</v>
      </c>
      <c r="X106" s="9">
        <f t="shared" si="15"/>
        <v>0</v>
      </c>
      <c r="Y106" s="9">
        <f t="shared" si="16"/>
        <v>0</v>
      </c>
      <c r="Z106" s="11"/>
      <c r="AA106" s="11"/>
    </row>
    <row r="107" spans="1:27">
      <c r="A107" s="8"/>
      <c r="B107" s="8" t="s">
        <v>223</v>
      </c>
      <c r="C107" s="8">
        <v>7036765</v>
      </c>
      <c r="D107" s="8" t="s">
        <v>224</v>
      </c>
      <c r="E107" s="8">
        <v>1</v>
      </c>
      <c r="F107" s="8">
        <v>5</v>
      </c>
      <c r="G107" s="8">
        <v>1</v>
      </c>
      <c r="H107" s="8"/>
      <c r="I107" s="8">
        <v>1</v>
      </c>
      <c r="J107" s="8"/>
      <c r="K107" s="8">
        <v>1</v>
      </c>
      <c r="L107" s="8"/>
      <c r="M107" s="8"/>
      <c r="N107" s="8"/>
      <c r="O107" s="8"/>
      <c r="P107" s="8"/>
      <c r="Q107" s="8">
        <f t="shared" si="9"/>
        <v>0</v>
      </c>
      <c r="R107" s="8">
        <f t="shared" si="10"/>
        <v>0</v>
      </c>
      <c r="S107" s="8"/>
      <c r="T107" s="9">
        <f t="shared" si="11"/>
        <v>0</v>
      </c>
      <c r="U107" s="9">
        <f t="shared" si="12"/>
        <v>0</v>
      </c>
      <c r="V107" s="9">
        <f t="shared" si="13"/>
        <v>0</v>
      </c>
      <c r="W107" s="9">
        <f t="shared" si="14"/>
        <v>0</v>
      </c>
      <c r="X107" s="9">
        <f t="shared" si="15"/>
        <v>0</v>
      </c>
      <c r="Y107" s="9">
        <f t="shared" si="16"/>
        <v>0</v>
      </c>
      <c r="Z107" s="11"/>
      <c r="AA107" s="11"/>
    </row>
    <row r="108" spans="1:27">
      <c r="A108" s="7">
        <v>20</v>
      </c>
      <c r="B108" s="7" t="s">
        <v>225</v>
      </c>
      <c r="C108" s="8">
        <v>7036767</v>
      </c>
      <c r="D108" s="8" t="s">
        <v>226</v>
      </c>
      <c r="E108" s="15">
        <v>1</v>
      </c>
      <c r="F108" s="15" t="s">
        <v>34</v>
      </c>
      <c r="G108" s="8"/>
      <c r="H108" s="8"/>
      <c r="I108" s="8"/>
      <c r="J108" s="8"/>
      <c r="K108" s="8"/>
      <c r="L108" s="8">
        <v>1</v>
      </c>
      <c r="M108" s="8"/>
      <c r="N108" s="8"/>
      <c r="O108" s="8"/>
      <c r="P108" s="8"/>
      <c r="Q108" s="8">
        <f t="shared" si="9"/>
        <v>0</v>
      </c>
      <c r="R108" s="8">
        <f t="shared" si="10"/>
        <v>0</v>
      </c>
      <c r="S108" s="8"/>
      <c r="T108" s="9">
        <f t="shared" si="11"/>
        <v>0</v>
      </c>
      <c r="U108" s="9">
        <f t="shared" si="12"/>
        <v>0</v>
      </c>
      <c r="V108" s="9">
        <f t="shared" si="13"/>
        <v>0</v>
      </c>
      <c r="W108" s="9">
        <f t="shared" si="14"/>
        <v>0</v>
      </c>
      <c r="X108" s="9">
        <f t="shared" si="15"/>
        <v>0</v>
      </c>
      <c r="Y108" s="9">
        <f t="shared" si="16"/>
        <v>0</v>
      </c>
      <c r="Z108" s="11"/>
      <c r="AA108" s="11"/>
    </row>
    <row r="109" spans="1:27">
      <c r="A109" s="8"/>
      <c r="B109" s="8" t="s">
        <v>227</v>
      </c>
      <c r="C109" s="8">
        <v>2016622</v>
      </c>
      <c r="D109" s="8" t="s">
        <v>228</v>
      </c>
      <c r="E109" s="8">
        <v>1</v>
      </c>
      <c r="F109" s="8" t="s">
        <v>34</v>
      </c>
      <c r="G109" s="8"/>
      <c r="H109" s="8"/>
      <c r="I109" s="8">
        <v>1</v>
      </c>
      <c r="J109" s="8"/>
      <c r="K109" s="8">
        <v>1</v>
      </c>
      <c r="L109" s="8"/>
      <c r="M109" s="8"/>
      <c r="N109" s="8"/>
      <c r="O109" s="8"/>
      <c r="P109" s="8"/>
      <c r="Q109" s="8">
        <f t="shared" si="9"/>
        <v>0</v>
      </c>
      <c r="R109" s="8">
        <f t="shared" si="10"/>
        <v>0</v>
      </c>
      <c r="S109" s="8"/>
      <c r="T109" s="9">
        <f t="shared" si="11"/>
        <v>0</v>
      </c>
      <c r="U109" s="9">
        <f t="shared" si="12"/>
        <v>0</v>
      </c>
      <c r="V109" s="9">
        <f t="shared" si="13"/>
        <v>0</v>
      </c>
      <c r="W109" s="9">
        <f t="shared" si="14"/>
        <v>0</v>
      </c>
      <c r="X109" s="9">
        <f t="shared" si="15"/>
        <v>0</v>
      </c>
      <c r="Y109" s="9">
        <f t="shared" si="16"/>
        <v>0</v>
      </c>
      <c r="Z109" s="11"/>
      <c r="AA109" s="11"/>
    </row>
    <row r="110" spans="1:27">
      <c r="A110" s="8"/>
      <c r="B110" s="8" t="s">
        <v>229</v>
      </c>
      <c r="C110" s="8">
        <v>2016617</v>
      </c>
      <c r="D110" s="8" t="s">
        <v>230</v>
      </c>
      <c r="E110" s="8">
        <v>1</v>
      </c>
      <c r="F110" s="8" t="s">
        <v>34</v>
      </c>
      <c r="G110" s="8"/>
      <c r="H110" s="8"/>
      <c r="I110" s="8">
        <v>1</v>
      </c>
      <c r="J110" s="8"/>
      <c r="K110" s="8">
        <v>1</v>
      </c>
      <c r="L110" s="8"/>
      <c r="M110" s="8"/>
      <c r="N110" s="8"/>
      <c r="O110" s="8"/>
      <c r="P110" s="8"/>
      <c r="Q110" s="8">
        <f t="shared" si="9"/>
        <v>0</v>
      </c>
      <c r="R110" s="8">
        <f t="shared" si="10"/>
        <v>0</v>
      </c>
      <c r="S110" s="8"/>
      <c r="T110" s="9">
        <f t="shared" si="11"/>
        <v>0</v>
      </c>
      <c r="U110" s="9">
        <f t="shared" si="12"/>
        <v>0</v>
      </c>
      <c r="V110" s="9">
        <f t="shared" si="13"/>
        <v>0</v>
      </c>
      <c r="W110" s="9">
        <f t="shared" si="14"/>
        <v>0</v>
      </c>
      <c r="X110" s="9">
        <f t="shared" si="15"/>
        <v>0</v>
      </c>
      <c r="Y110" s="9">
        <f t="shared" si="16"/>
        <v>0</v>
      </c>
      <c r="Z110" s="11"/>
      <c r="AA110" s="11"/>
    </row>
    <row r="111" spans="1:27">
      <c r="A111" s="8"/>
      <c r="B111" s="8" t="s">
        <v>231</v>
      </c>
      <c r="C111" s="8">
        <v>7036768</v>
      </c>
      <c r="D111" s="8" t="s">
        <v>232</v>
      </c>
      <c r="E111" s="8">
        <v>1</v>
      </c>
      <c r="F111" s="8">
        <v>6</v>
      </c>
      <c r="G111" s="8">
        <v>1</v>
      </c>
      <c r="H111" s="8"/>
      <c r="I111" s="8">
        <v>1</v>
      </c>
      <c r="J111" s="8"/>
      <c r="K111" s="8">
        <v>1</v>
      </c>
      <c r="L111" s="8"/>
      <c r="M111" s="8"/>
      <c r="N111" s="8"/>
      <c r="O111" s="8"/>
      <c r="P111" s="8"/>
      <c r="Q111" s="8">
        <f t="shared" si="9"/>
        <v>0</v>
      </c>
      <c r="R111" s="8">
        <f t="shared" si="10"/>
        <v>0</v>
      </c>
      <c r="S111" s="8"/>
      <c r="T111" s="9">
        <f t="shared" si="11"/>
        <v>0</v>
      </c>
      <c r="U111" s="9">
        <f t="shared" si="12"/>
        <v>0</v>
      </c>
      <c r="V111" s="9">
        <f t="shared" si="13"/>
        <v>0</v>
      </c>
      <c r="W111" s="9">
        <f t="shared" si="14"/>
        <v>0</v>
      </c>
      <c r="X111" s="9">
        <f t="shared" si="15"/>
        <v>0</v>
      </c>
      <c r="Y111" s="9">
        <f t="shared" si="16"/>
        <v>0</v>
      </c>
      <c r="Z111" s="11"/>
      <c r="AA111" s="11"/>
    </row>
    <row r="112" spans="1:27">
      <c r="A112" s="7">
        <v>21</v>
      </c>
      <c r="B112" s="7" t="s">
        <v>233</v>
      </c>
      <c r="C112" s="8">
        <v>7038212</v>
      </c>
      <c r="D112" s="8" t="s">
        <v>234</v>
      </c>
      <c r="E112" s="8">
        <v>1</v>
      </c>
      <c r="F112" s="8" t="s">
        <v>34</v>
      </c>
      <c r="G112" s="8"/>
      <c r="H112" s="8"/>
      <c r="I112" s="8"/>
      <c r="J112" s="8"/>
      <c r="K112" s="8"/>
      <c r="L112" s="8">
        <v>1</v>
      </c>
      <c r="M112" s="8">
        <v>100</v>
      </c>
      <c r="N112" s="8">
        <v>71</v>
      </c>
      <c r="O112" s="8">
        <v>44</v>
      </c>
      <c r="P112" s="8"/>
      <c r="Q112" s="8">
        <f t="shared" si="9"/>
        <v>312400</v>
      </c>
      <c r="R112" s="8">
        <f t="shared" si="10"/>
        <v>1562000</v>
      </c>
      <c r="S112" s="8"/>
      <c r="T112" s="9">
        <f t="shared" si="11"/>
        <v>1.3774250440917108E-2</v>
      </c>
      <c r="U112" s="9">
        <f t="shared" si="12"/>
        <v>4.2853223593964339E-3</v>
      </c>
      <c r="V112" s="10">
        <f t="shared" si="13"/>
        <v>6.5740740740740738E-2</v>
      </c>
      <c r="W112" s="9">
        <f t="shared" si="14"/>
        <v>3.6157407407407409E-2</v>
      </c>
      <c r="X112" s="9">
        <f t="shared" si="15"/>
        <v>1.9722222222222221E-2</v>
      </c>
      <c r="Y112" s="9">
        <f t="shared" si="16"/>
        <v>9.0393518518518522E-3</v>
      </c>
      <c r="Z112" s="11"/>
      <c r="AA112" s="11" t="s">
        <v>8</v>
      </c>
    </row>
    <row r="113" spans="1:27">
      <c r="A113" s="8"/>
      <c r="B113" s="8" t="s">
        <v>235</v>
      </c>
      <c r="C113" s="8">
        <v>7000321</v>
      </c>
      <c r="D113" s="8" t="s">
        <v>236</v>
      </c>
      <c r="E113" s="8">
        <v>1</v>
      </c>
      <c r="F113" s="8" t="s">
        <v>34</v>
      </c>
      <c r="G113" s="8">
        <v>1</v>
      </c>
      <c r="H113" s="8"/>
      <c r="I113" s="8">
        <v>1</v>
      </c>
      <c r="J113" s="8"/>
      <c r="K113" s="8">
        <v>1</v>
      </c>
      <c r="L113" s="8"/>
      <c r="M113" s="8"/>
      <c r="N113" s="8"/>
      <c r="O113" s="8"/>
      <c r="P113" s="8"/>
      <c r="Q113" s="8">
        <f t="shared" si="9"/>
        <v>0</v>
      </c>
      <c r="R113" s="8">
        <f t="shared" si="10"/>
        <v>0</v>
      </c>
      <c r="S113" s="8"/>
      <c r="T113" s="9">
        <f t="shared" si="11"/>
        <v>0</v>
      </c>
      <c r="U113" s="9">
        <f t="shared" si="12"/>
        <v>0</v>
      </c>
      <c r="V113" s="9">
        <f t="shared" si="13"/>
        <v>0</v>
      </c>
      <c r="W113" s="9">
        <f t="shared" si="14"/>
        <v>0</v>
      </c>
      <c r="X113" s="9">
        <f t="shared" si="15"/>
        <v>0</v>
      </c>
      <c r="Y113" s="9">
        <f t="shared" si="16"/>
        <v>0</v>
      </c>
      <c r="Z113" s="11"/>
      <c r="AA113" s="11"/>
    </row>
    <row r="114" spans="1:27">
      <c r="A114" s="8"/>
      <c r="B114" s="8" t="s">
        <v>237</v>
      </c>
      <c r="C114" s="8">
        <v>7038213</v>
      </c>
      <c r="D114" s="8" t="s">
        <v>238</v>
      </c>
      <c r="E114" s="8">
        <v>1</v>
      </c>
      <c r="F114" s="8">
        <v>6</v>
      </c>
      <c r="G114" s="8">
        <v>1</v>
      </c>
      <c r="H114" s="8"/>
      <c r="I114" s="8">
        <v>1</v>
      </c>
      <c r="J114" s="8"/>
      <c r="K114" s="8">
        <v>1</v>
      </c>
      <c r="L114" s="8"/>
      <c r="M114" s="8">
        <v>50</v>
      </c>
      <c r="N114" s="8">
        <v>35</v>
      </c>
      <c r="O114" s="8">
        <v>6</v>
      </c>
      <c r="P114" s="8"/>
      <c r="Q114" s="8">
        <f t="shared" si="9"/>
        <v>10500</v>
      </c>
      <c r="R114" s="8">
        <f t="shared" si="10"/>
        <v>52500</v>
      </c>
      <c r="S114" s="8"/>
      <c r="T114" s="9">
        <f t="shared" si="11"/>
        <v>4.6296296296296298E-4</v>
      </c>
      <c r="U114" s="9">
        <f t="shared" si="12"/>
        <v>1.440329218106996E-4</v>
      </c>
      <c r="V114" s="10">
        <f t="shared" si="13"/>
        <v>2.2095959595959595E-3</v>
      </c>
      <c r="W114" s="9">
        <f t="shared" si="14"/>
        <v>1.2152777777777778E-3</v>
      </c>
      <c r="X114" s="9">
        <f t="shared" si="15"/>
        <v>6.6287878787878792E-4</v>
      </c>
      <c r="Y114" s="9">
        <f t="shared" si="16"/>
        <v>3.0381944444444445E-4</v>
      </c>
      <c r="Z114" s="11"/>
      <c r="AA114" s="11" t="s">
        <v>8</v>
      </c>
    </row>
    <row r="115" spans="1:27">
      <c r="A115" s="7">
        <v>22</v>
      </c>
      <c r="B115" s="7" t="s">
        <v>239</v>
      </c>
      <c r="C115" s="8">
        <v>7038365</v>
      </c>
      <c r="D115" s="8" t="s">
        <v>240</v>
      </c>
      <c r="E115" s="8">
        <v>1</v>
      </c>
      <c r="F115" s="8" t="s">
        <v>34</v>
      </c>
      <c r="G115" s="8"/>
      <c r="H115" s="8"/>
      <c r="I115" s="8"/>
      <c r="J115" s="8"/>
      <c r="K115" s="8"/>
      <c r="L115" s="8">
        <v>1</v>
      </c>
      <c r="M115" s="8">
        <v>736</v>
      </c>
      <c r="N115" s="8">
        <v>235</v>
      </c>
      <c r="O115" s="8">
        <v>90</v>
      </c>
      <c r="P115" s="8"/>
      <c r="Q115" s="8">
        <f t="shared" si="9"/>
        <v>15566400</v>
      </c>
      <c r="R115" s="8">
        <f t="shared" si="10"/>
        <v>77832000</v>
      </c>
      <c r="S115" s="8"/>
      <c r="T115" s="10">
        <f t="shared" si="11"/>
        <v>0.68634920634920638</v>
      </c>
      <c r="U115" s="9">
        <f t="shared" si="12"/>
        <v>0.21353086419753087</v>
      </c>
      <c r="V115" s="9">
        <f t="shared" si="13"/>
        <v>3.2757575757575759</v>
      </c>
      <c r="W115" s="9">
        <f t="shared" si="14"/>
        <v>1.8016666666666667</v>
      </c>
      <c r="X115" s="9">
        <f t="shared" si="15"/>
        <v>0.98272727272727278</v>
      </c>
      <c r="Y115" s="9">
        <f t="shared" si="16"/>
        <v>0.45041666666666669</v>
      </c>
      <c r="Z115" s="11"/>
      <c r="AA115" s="11" t="s">
        <v>241</v>
      </c>
    </row>
    <row r="116" spans="1:27">
      <c r="A116" s="8"/>
      <c r="B116" s="8" t="s">
        <v>242</v>
      </c>
      <c r="C116" s="8">
        <v>2018084</v>
      </c>
      <c r="D116" s="8" t="s">
        <v>243</v>
      </c>
      <c r="E116" s="8">
        <v>1</v>
      </c>
      <c r="F116" s="8" t="s">
        <v>244</v>
      </c>
      <c r="G116" s="8"/>
      <c r="H116" s="8"/>
      <c r="I116" s="8">
        <v>1</v>
      </c>
      <c r="J116" s="8"/>
      <c r="K116" s="8">
        <v>1</v>
      </c>
      <c r="L116" s="8"/>
      <c r="M116" s="8">
        <v>691</v>
      </c>
      <c r="N116" s="8">
        <v>90</v>
      </c>
      <c r="O116" s="8">
        <v>22</v>
      </c>
      <c r="P116" s="8"/>
      <c r="Q116" s="8">
        <f t="shared" si="9"/>
        <v>1368180</v>
      </c>
      <c r="R116" s="8">
        <f t="shared" si="10"/>
        <v>6840900</v>
      </c>
      <c r="S116" s="8"/>
      <c r="T116" s="10">
        <f t="shared" si="11"/>
        <v>6.0325396825396824E-2</v>
      </c>
      <c r="U116" s="9">
        <f t="shared" si="12"/>
        <v>1.87679012345679E-2</v>
      </c>
      <c r="V116" s="9">
        <f t="shared" si="13"/>
        <v>0.28791666666666665</v>
      </c>
      <c r="W116" s="9">
        <f t="shared" si="14"/>
        <v>0.15835416666666666</v>
      </c>
      <c r="X116" s="9">
        <f t="shared" si="15"/>
        <v>8.6374999999999993E-2</v>
      </c>
      <c r="Y116" s="9">
        <f t="shared" si="16"/>
        <v>3.9588541666666664E-2</v>
      </c>
      <c r="Z116" s="11"/>
      <c r="AA116" s="11" t="s">
        <v>241</v>
      </c>
    </row>
    <row r="117" spans="1:27">
      <c r="A117" s="8"/>
      <c r="B117" s="8" t="s">
        <v>245</v>
      </c>
      <c r="C117" s="8">
        <v>7038366</v>
      </c>
      <c r="D117" s="8" t="s">
        <v>246</v>
      </c>
      <c r="E117" s="8">
        <v>1</v>
      </c>
      <c r="F117" s="8">
        <v>4</v>
      </c>
      <c r="G117" s="8">
        <v>1</v>
      </c>
      <c r="H117" s="8"/>
      <c r="I117" s="8">
        <v>1</v>
      </c>
      <c r="J117" s="8"/>
      <c r="K117" s="8">
        <v>1</v>
      </c>
      <c r="L117" s="8"/>
      <c r="M117" s="8">
        <v>65</v>
      </c>
      <c r="N117" s="8">
        <v>235</v>
      </c>
      <c r="O117" s="8">
        <v>4</v>
      </c>
      <c r="P117" s="8"/>
      <c r="Q117" s="8">
        <f t="shared" si="9"/>
        <v>61100</v>
      </c>
      <c r="R117" s="8">
        <f t="shared" si="10"/>
        <v>305500</v>
      </c>
      <c r="S117" s="8"/>
      <c r="T117" s="9">
        <f t="shared" si="11"/>
        <v>2.6940035273368607E-3</v>
      </c>
      <c r="U117" s="9">
        <f t="shared" si="12"/>
        <v>8.3813443072702331E-4</v>
      </c>
      <c r="V117" s="9">
        <f t="shared" si="13"/>
        <v>1.2857744107744108E-2</v>
      </c>
      <c r="W117" s="10">
        <f t="shared" si="14"/>
        <v>7.0717592592592594E-3</v>
      </c>
      <c r="X117" s="9">
        <f t="shared" si="15"/>
        <v>3.8573232323232324E-3</v>
      </c>
      <c r="Y117" s="9">
        <f t="shared" si="16"/>
        <v>1.7679398148148149E-3</v>
      </c>
      <c r="Z117" s="11"/>
      <c r="AA117" s="11" t="s">
        <v>9</v>
      </c>
    </row>
    <row r="118" spans="1:27">
      <c r="A118" s="8"/>
      <c r="B118" s="8" t="s">
        <v>247</v>
      </c>
      <c r="C118" s="8">
        <v>7024511</v>
      </c>
      <c r="D118" s="8" t="s">
        <v>248</v>
      </c>
      <c r="E118" s="8">
        <v>1</v>
      </c>
      <c r="F118" s="8"/>
      <c r="G118" s="8">
        <v>1</v>
      </c>
      <c r="H118" s="8"/>
      <c r="I118" s="8">
        <v>1</v>
      </c>
      <c r="J118" s="8"/>
      <c r="K118" s="8">
        <v>1</v>
      </c>
      <c r="L118" s="8"/>
      <c r="M118" s="8"/>
      <c r="N118" s="8"/>
      <c r="O118" s="8"/>
      <c r="P118" s="8"/>
      <c r="Q118" s="8">
        <f t="shared" si="9"/>
        <v>0</v>
      </c>
      <c r="R118" s="8">
        <f t="shared" si="10"/>
        <v>0</v>
      </c>
      <c r="S118" s="8"/>
      <c r="T118" s="9">
        <f t="shared" si="11"/>
        <v>0</v>
      </c>
      <c r="U118" s="9">
        <f t="shared" si="12"/>
        <v>0</v>
      </c>
      <c r="V118" s="9">
        <f t="shared" si="13"/>
        <v>0</v>
      </c>
      <c r="W118" s="9">
        <f t="shared" si="14"/>
        <v>0</v>
      </c>
      <c r="X118" s="9">
        <f t="shared" si="15"/>
        <v>0</v>
      </c>
      <c r="Y118" s="9">
        <f t="shared" si="16"/>
        <v>0</v>
      </c>
      <c r="Z118" s="11"/>
      <c r="AA118" s="11"/>
    </row>
    <row r="119" spans="1:27">
      <c r="A119" s="8"/>
      <c r="B119" s="8" t="s">
        <v>249</v>
      </c>
      <c r="C119" s="8">
        <v>7038367</v>
      </c>
      <c r="D119" s="8" t="s">
        <v>250</v>
      </c>
      <c r="E119" s="8">
        <v>1</v>
      </c>
      <c r="F119" s="8">
        <v>4</v>
      </c>
      <c r="G119" s="8">
        <v>1</v>
      </c>
      <c r="H119" s="8"/>
      <c r="I119" s="8">
        <v>1</v>
      </c>
      <c r="J119" s="8"/>
      <c r="K119" s="8">
        <v>1</v>
      </c>
      <c r="L119" s="8"/>
      <c r="M119" s="8">
        <v>130</v>
      </c>
      <c r="N119" s="8">
        <v>50</v>
      </c>
      <c r="O119" s="8">
        <v>4</v>
      </c>
      <c r="P119" s="8"/>
      <c r="Q119" s="8">
        <f t="shared" si="9"/>
        <v>26000</v>
      </c>
      <c r="R119" s="8">
        <f t="shared" si="10"/>
        <v>130000</v>
      </c>
      <c r="S119" s="8"/>
      <c r="T119" s="9">
        <f t="shared" si="11"/>
        <v>1.1463844797178131E-3</v>
      </c>
      <c r="U119" s="9">
        <f t="shared" si="12"/>
        <v>3.5665294924554182E-4</v>
      </c>
      <c r="V119" s="10">
        <f t="shared" si="13"/>
        <v>5.4713804713804716E-3</v>
      </c>
      <c r="W119" s="9">
        <f t="shared" si="14"/>
        <v>3.0092592592592593E-3</v>
      </c>
      <c r="X119" s="9">
        <f t="shared" si="15"/>
        <v>1.6414141414141414E-3</v>
      </c>
      <c r="Y119" s="9">
        <f t="shared" si="16"/>
        <v>7.5231481481481482E-4</v>
      </c>
      <c r="Z119" s="11"/>
      <c r="AA119" s="11" t="s">
        <v>8</v>
      </c>
    </row>
    <row r="120" spans="1:27">
      <c r="A120" s="8"/>
      <c r="B120" s="8" t="s">
        <v>251</v>
      </c>
      <c r="C120" s="8">
        <v>7038368</v>
      </c>
      <c r="D120" s="8" t="s">
        <v>252</v>
      </c>
      <c r="E120" s="8">
        <v>1</v>
      </c>
      <c r="F120" s="8">
        <v>6</v>
      </c>
      <c r="G120" s="8">
        <v>1</v>
      </c>
      <c r="H120" s="8"/>
      <c r="I120" s="8">
        <v>1</v>
      </c>
      <c r="J120" s="8"/>
      <c r="K120" s="8">
        <v>1</v>
      </c>
      <c r="L120" s="8"/>
      <c r="M120" s="8">
        <v>125</v>
      </c>
      <c r="N120" s="8">
        <v>50</v>
      </c>
      <c r="O120" s="8">
        <v>56</v>
      </c>
      <c r="P120" s="8"/>
      <c r="Q120" s="8">
        <f t="shared" si="9"/>
        <v>350000</v>
      </c>
      <c r="R120" s="8">
        <f t="shared" si="10"/>
        <v>1750000</v>
      </c>
      <c r="S120" s="8"/>
      <c r="T120" s="9">
        <f t="shared" si="11"/>
        <v>1.5432098765432098E-2</v>
      </c>
      <c r="U120" s="9">
        <f t="shared" si="12"/>
        <v>4.8010973936899867E-3</v>
      </c>
      <c r="V120" s="10">
        <f t="shared" si="13"/>
        <v>7.3653198653198651E-2</v>
      </c>
      <c r="W120" s="9">
        <f t="shared" si="14"/>
        <v>4.0509259259259259E-2</v>
      </c>
      <c r="X120" s="9">
        <f t="shared" si="15"/>
        <v>2.2095959595959596E-2</v>
      </c>
      <c r="Y120" s="9">
        <f t="shared" si="16"/>
        <v>1.0127314814814815E-2</v>
      </c>
      <c r="Z120" s="11"/>
      <c r="AA120" s="11" t="s">
        <v>8</v>
      </c>
    </row>
    <row r="121" spans="1:27">
      <c r="A121" s="7">
        <v>23</v>
      </c>
      <c r="B121" s="7" t="s">
        <v>253</v>
      </c>
      <c r="C121" s="8">
        <v>7041672</v>
      </c>
      <c r="D121" s="8" t="s">
        <v>254</v>
      </c>
      <c r="E121" s="8">
        <v>1</v>
      </c>
      <c r="F121" s="8" t="s">
        <v>34</v>
      </c>
      <c r="G121" s="8"/>
      <c r="H121" s="8"/>
      <c r="I121" s="8"/>
      <c r="J121" s="8"/>
      <c r="K121" s="8"/>
      <c r="L121" s="8">
        <v>1</v>
      </c>
      <c r="M121" s="8">
        <v>154</v>
      </c>
      <c r="N121" s="8">
        <v>290</v>
      </c>
      <c r="O121" s="8">
        <v>26</v>
      </c>
      <c r="P121" s="8"/>
      <c r="Q121" s="8">
        <f t="shared" si="9"/>
        <v>1161160</v>
      </c>
      <c r="R121" s="8">
        <f t="shared" si="10"/>
        <v>5805800</v>
      </c>
      <c r="S121" s="8"/>
      <c r="T121" s="9">
        <f t="shared" si="11"/>
        <v>5.1197530864197531E-2</v>
      </c>
      <c r="U121" s="9">
        <f t="shared" si="12"/>
        <v>1.5928120713305897E-2</v>
      </c>
      <c r="V121" s="9">
        <f t="shared" si="13"/>
        <v>0.24435185185185185</v>
      </c>
      <c r="W121" s="10">
        <f t="shared" si="14"/>
        <v>0.13439351851851852</v>
      </c>
      <c r="X121" s="9">
        <f t="shared" si="15"/>
        <v>7.3305555555555554E-2</v>
      </c>
      <c r="Y121" s="9">
        <f t="shared" si="16"/>
        <v>3.3598379629629631E-2</v>
      </c>
      <c r="Z121" s="11"/>
      <c r="AA121" s="11" t="s">
        <v>9</v>
      </c>
    </row>
    <row r="122" spans="1:27">
      <c r="A122" s="8"/>
      <c r="B122" s="8" t="s">
        <v>255</v>
      </c>
      <c r="C122" s="8">
        <v>2017510</v>
      </c>
      <c r="D122" s="8" t="s">
        <v>256</v>
      </c>
      <c r="E122" s="8">
        <v>1</v>
      </c>
      <c r="F122" s="8" t="s">
        <v>34</v>
      </c>
      <c r="G122" s="8"/>
      <c r="H122" s="8"/>
      <c r="I122" s="8">
        <v>1</v>
      </c>
      <c r="J122" s="8"/>
      <c r="K122" s="8">
        <v>1</v>
      </c>
      <c r="L122" s="8"/>
      <c r="M122" s="8">
        <v>175</v>
      </c>
      <c r="N122" s="8">
        <v>290</v>
      </c>
      <c r="O122" s="8">
        <v>21</v>
      </c>
      <c r="P122" s="8"/>
      <c r="Q122" s="8">
        <f t="shared" si="9"/>
        <v>1065750</v>
      </c>
      <c r="R122" s="8">
        <f t="shared" si="10"/>
        <v>5328750</v>
      </c>
      <c r="S122" s="8"/>
      <c r="T122" s="9">
        <f t="shared" si="11"/>
        <v>4.6990740740740743E-2</v>
      </c>
      <c r="U122" s="9">
        <f t="shared" si="12"/>
        <v>1.4619341563786008E-2</v>
      </c>
      <c r="V122" s="9">
        <f t="shared" si="13"/>
        <v>0.22427398989898989</v>
      </c>
      <c r="W122" s="10">
        <f t="shared" si="14"/>
        <v>0.12335069444444445</v>
      </c>
      <c r="X122" s="9">
        <f t="shared" si="15"/>
        <v>6.7282196969696964E-2</v>
      </c>
      <c r="Y122" s="9">
        <f t="shared" si="16"/>
        <v>3.0837673611111113E-2</v>
      </c>
      <c r="Z122" s="11"/>
      <c r="AA122" s="11" t="s">
        <v>9</v>
      </c>
    </row>
    <row r="123" spans="1:27">
      <c r="A123" s="8"/>
      <c r="B123" s="8" t="s">
        <v>257</v>
      </c>
      <c r="C123" s="8">
        <v>2020283</v>
      </c>
      <c r="D123" s="8" t="s">
        <v>258</v>
      </c>
      <c r="E123" s="8">
        <v>2</v>
      </c>
      <c r="F123" s="8" t="s">
        <v>259</v>
      </c>
      <c r="G123" s="8"/>
      <c r="H123" s="8"/>
      <c r="I123" s="8">
        <v>1</v>
      </c>
      <c r="J123" s="8"/>
      <c r="K123" s="8">
        <v>1</v>
      </c>
      <c r="L123" s="8"/>
      <c r="M123" s="8">
        <v>18</v>
      </c>
      <c r="N123" s="8">
        <v>15</v>
      </c>
      <c r="O123" s="8">
        <v>15</v>
      </c>
      <c r="P123" s="8"/>
      <c r="Q123" s="8">
        <f t="shared" si="9"/>
        <v>8100</v>
      </c>
      <c r="R123" s="8">
        <f t="shared" si="10"/>
        <v>40500</v>
      </c>
      <c r="S123" s="8"/>
      <c r="T123" s="9">
        <f t="shared" si="11"/>
        <v>3.5714285714285714E-4</v>
      </c>
      <c r="U123" s="9">
        <f t="shared" si="12"/>
        <v>1.1111111111111112E-4</v>
      </c>
      <c r="V123" s="10">
        <f t="shared" si="13"/>
        <v>1.7045454545454545E-3</v>
      </c>
      <c r="W123" s="9">
        <f t="shared" si="14"/>
        <v>9.3749999999999997E-4</v>
      </c>
      <c r="X123" s="9">
        <f t="shared" si="15"/>
        <v>5.113636363636364E-4</v>
      </c>
      <c r="Y123" s="9">
        <f t="shared" si="16"/>
        <v>2.3437499999999999E-4</v>
      </c>
      <c r="Z123" s="11"/>
      <c r="AA123" s="11" t="s">
        <v>8</v>
      </c>
    </row>
  </sheetData>
  <autoFilter ref="A11:AA123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EB4B-8EEC-4E05-A04F-A0810C50D800}">
  <dimension ref="A1:M69"/>
  <sheetViews>
    <sheetView tabSelected="1" workbookViewId="0">
      <selection activeCell="F2" sqref="F2:F69"/>
    </sheetView>
  </sheetViews>
  <sheetFormatPr defaultRowHeight="14.4"/>
  <cols>
    <col min="1" max="1" width="9.21875" bestFit="1" customWidth="1"/>
    <col min="2" max="2" width="15.109375" customWidth="1"/>
    <col min="3" max="3" width="9.21875" bestFit="1" customWidth="1"/>
    <col min="4" max="4" width="44.44140625" customWidth="1"/>
    <col min="5" max="5" width="9.21875" bestFit="1" customWidth="1"/>
    <col min="6" max="6" width="9" bestFit="1" customWidth="1"/>
    <col min="7" max="7" width="10.77734375" bestFit="1" customWidth="1"/>
    <col min="8" max="8" width="12.109375" bestFit="1" customWidth="1"/>
    <col min="9" max="9" width="10.77734375" bestFit="1" customWidth="1"/>
    <col min="10" max="10" width="11.44140625" bestFit="1" customWidth="1"/>
    <col min="11" max="11" width="12.77734375" bestFit="1" customWidth="1"/>
    <col min="12" max="12" width="13.33203125" bestFit="1" customWidth="1"/>
    <col min="13" max="13" width="13.109375" bestFit="1" customWidth="1"/>
  </cols>
  <sheetData>
    <row r="1" spans="1:13" ht="62.4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21" t="s">
        <v>262</v>
      </c>
      <c r="G1" s="21" t="s">
        <v>266</v>
      </c>
      <c r="H1" s="21" t="s">
        <v>267</v>
      </c>
      <c r="I1" s="21" t="s">
        <v>268</v>
      </c>
      <c r="J1" s="21" t="s">
        <v>269</v>
      </c>
      <c r="K1" s="5" t="s">
        <v>264</v>
      </c>
      <c r="L1" s="5" t="s">
        <v>263</v>
      </c>
      <c r="M1" s="17" t="s">
        <v>265</v>
      </c>
    </row>
    <row r="2" spans="1:13">
      <c r="A2" s="24">
        <v>1</v>
      </c>
      <c r="B2" s="24" t="s">
        <v>32</v>
      </c>
      <c r="C2" s="8">
        <v>7038068</v>
      </c>
      <c r="D2" s="8" t="s">
        <v>33</v>
      </c>
      <c r="E2" s="8">
        <v>2</v>
      </c>
      <c r="F2" s="25">
        <v>10</v>
      </c>
      <c r="G2" s="20">
        <v>188</v>
      </c>
      <c r="H2" s="20">
        <v>65</v>
      </c>
      <c r="I2" s="20">
        <v>90</v>
      </c>
      <c r="J2" s="22">
        <v>5</v>
      </c>
      <c r="K2" s="8">
        <f>G2*H2*I2</f>
        <v>1099800</v>
      </c>
      <c r="L2" s="8">
        <f>K2*F2</f>
        <v>10998000</v>
      </c>
      <c r="M2" s="8">
        <f>J2*F2</f>
        <v>50</v>
      </c>
    </row>
    <row r="3" spans="1:13">
      <c r="A3" s="24">
        <v>2</v>
      </c>
      <c r="B3" s="24" t="s">
        <v>35</v>
      </c>
      <c r="C3" s="8">
        <v>7038069</v>
      </c>
      <c r="D3" s="8" t="s">
        <v>36</v>
      </c>
      <c r="E3" s="8">
        <v>2</v>
      </c>
      <c r="F3" s="25">
        <v>60</v>
      </c>
      <c r="G3" s="8">
        <v>189</v>
      </c>
      <c r="H3" s="8">
        <v>66</v>
      </c>
      <c r="I3" s="8">
        <v>91</v>
      </c>
      <c r="J3" s="23">
        <v>6</v>
      </c>
      <c r="K3" s="8">
        <f t="shared" ref="K3:K48" si="0">G3*H3*I3</f>
        <v>1135134</v>
      </c>
      <c r="L3" s="8">
        <f t="shared" ref="L3:L48" si="1">K3*F3</f>
        <v>68108040</v>
      </c>
      <c r="M3" s="8">
        <f t="shared" ref="M3:M48" si="2">J3*F3</f>
        <v>360</v>
      </c>
    </row>
    <row r="4" spans="1:13">
      <c r="A4" s="24">
        <v>3</v>
      </c>
      <c r="B4" s="24" t="s">
        <v>38</v>
      </c>
      <c r="C4" s="8">
        <v>7038070</v>
      </c>
      <c r="D4" s="8" t="s">
        <v>39</v>
      </c>
      <c r="E4" s="8">
        <v>2</v>
      </c>
      <c r="F4" s="25">
        <v>70</v>
      </c>
      <c r="G4" s="8">
        <v>130</v>
      </c>
      <c r="H4" s="8">
        <v>72</v>
      </c>
      <c r="I4" s="8">
        <v>8</v>
      </c>
      <c r="J4" s="23">
        <v>8</v>
      </c>
      <c r="K4" s="8">
        <f t="shared" si="0"/>
        <v>74880</v>
      </c>
      <c r="L4" s="8">
        <f t="shared" si="1"/>
        <v>5241600</v>
      </c>
      <c r="M4" s="8">
        <f t="shared" si="2"/>
        <v>560</v>
      </c>
    </row>
    <row r="5" spans="1:13">
      <c r="A5" s="24">
        <v>4</v>
      </c>
      <c r="B5" s="24" t="s">
        <v>41</v>
      </c>
      <c r="C5" s="8">
        <v>7038319</v>
      </c>
      <c r="D5" s="8" t="s">
        <v>42</v>
      </c>
      <c r="E5" s="8">
        <v>1</v>
      </c>
      <c r="F5" s="25">
        <v>74</v>
      </c>
      <c r="G5" s="8">
        <v>260</v>
      </c>
      <c r="H5" s="8">
        <v>250</v>
      </c>
      <c r="I5" s="8">
        <v>135</v>
      </c>
      <c r="J5" s="23">
        <v>11</v>
      </c>
      <c r="K5" s="8">
        <f t="shared" si="0"/>
        <v>8775000</v>
      </c>
      <c r="L5" s="8">
        <f t="shared" si="1"/>
        <v>649350000</v>
      </c>
      <c r="M5" s="8">
        <f t="shared" si="2"/>
        <v>814</v>
      </c>
    </row>
    <row r="6" spans="1:13">
      <c r="A6" s="24">
        <v>5</v>
      </c>
      <c r="B6" s="24" t="s">
        <v>43</v>
      </c>
      <c r="C6" s="8">
        <v>7041099</v>
      </c>
      <c r="D6" s="8" t="s">
        <v>44</v>
      </c>
      <c r="E6" s="8">
        <v>1</v>
      </c>
      <c r="F6" s="25">
        <v>85.2</v>
      </c>
      <c r="G6" s="8">
        <v>80</v>
      </c>
      <c r="H6" s="8">
        <v>50</v>
      </c>
      <c r="I6" s="8">
        <v>40</v>
      </c>
      <c r="J6" s="22">
        <v>12.5</v>
      </c>
      <c r="K6" s="8">
        <f t="shared" si="0"/>
        <v>160000</v>
      </c>
      <c r="L6" s="8">
        <f t="shared" si="1"/>
        <v>13632000</v>
      </c>
      <c r="M6" s="8">
        <f t="shared" si="2"/>
        <v>1065</v>
      </c>
    </row>
    <row r="7" spans="1:13">
      <c r="A7" s="24">
        <v>6</v>
      </c>
      <c r="B7" s="24" t="s">
        <v>48</v>
      </c>
      <c r="C7" s="8">
        <v>7038320</v>
      </c>
      <c r="D7" s="8" t="s">
        <v>49</v>
      </c>
      <c r="E7" s="8">
        <v>1</v>
      </c>
      <c r="F7" s="25">
        <v>107.6</v>
      </c>
      <c r="G7" s="8">
        <v>245</v>
      </c>
      <c r="H7" s="8">
        <v>140</v>
      </c>
      <c r="I7" s="8">
        <v>250</v>
      </c>
      <c r="J7" s="23">
        <v>14.5</v>
      </c>
      <c r="K7" s="8">
        <f t="shared" si="0"/>
        <v>8575000</v>
      </c>
      <c r="L7" s="8">
        <f t="shared" si="1"/>
        <v>922670000</v>
      </c>
      <c r="M7" s="8">
        <f t="shared" si="2"/>
        <v>1560.1999999999998</v>
      </c>
    </row>
    <row r="8" spans="1:13">
      <c r="A8" s="24">
        <v>7</v>
      </c>
      <c r="B8" s="24" t="s">
        <v>50</v>
      </c>
      <c r="C8" s="8">
        <v>7038076</v>
      </c>
      <c r="D8" s="8" t="s">
        <v>51</v>
      </c>
      <c r="E8" s="8">
        <v>1</v>
      </c>
      <c r="F8" s="25">
        <v>130</v>
      </c>
      <c r="G8" s="8">
        <v>89</v>
      </c>
      <c r="H8" s="8">
        <v>73</v>
      </c>
      <c r="I8" s="8">
        <v>75</v>
      </c>
      <c r="J8" s="23">
        <v>16.5</v>
      </c>
      <c r="K8" s="8">
        <f t="shared" si="0"/>
        <v>487275</v>
      </c>
      <c r="L8" s="8">
        <f t="shared" si="1"/>
        <v>63345750</v>
      </c>
      <c r="M8" s="8">
        <f t="shared" si="2"/>
        <v>2145</v>
      </c>
    </row>
    <row r="9" spans="1:13">
      <c r="A9" s="24">
        <v>8</v>
      </c>
      <c r="B9" s="24" t="s">
        <v>52</v>
      </c>
      <c r="C9" s="8">
        <v>7038077</v>
      </c>
      <c r="D9" s="8" t="s">
        <v>53</v>
      </c>
      <c r="E9" s="8">
        <v>1</v>
      </c>
      <c r="F9" s="25">
        <v>141.19999999999999</v>
      </c>
      <c r="G9" s="8">
        <v>75</v>
      </c>
      <c r="H9" s="8">
        <v>73</v>
      </c>
      <c r="I9" s="8">
        <v>63.5</v>
      </c>
      <c r="J9" s="23">
        <v>18.5</v>
      </c>
      <c r="K9" s="8">
        <f t="shared" si="0"/>
        <v>347662.5</v>
      </c>
      <c r="L9" s="8">
        <f t="shared" si="1"/>
        <v>49089944.999999993</v>
      </c>
      <c r="M9" s="8">
        <f t="shared" si="2"/>
        <v>2612.1999999999998</v>
      </c>
    </row>
    <row r="10" spans="1:13">
      <c r="A10" s="24">
        <v>9</v>
      </c>
      <c r="B10" s="24" t="s">
        <v>54</v>
      </c>
      <c r="C10" s="8">
        <v>2017878</v>
      </c>
      <c r="D10" s="8" t="s">
        <v>55</v>
      </c>
      <c r="E10" s="8">
        <v>1</v>
      </c>
      <c r="F10" s="25">
        <v>152.4</v>
      </c>
      <c r="G10" s="8">
        <v>30</v>
      </c>
      <c r="H10" s="8">
        <v>15</v>
      </c>
      <c r="I10" s="8">
        <v>15</v>
      </c>
      <c r="J10" s="22">
        <v>20.5</v>
      </c>
      <c r="K10" s="8">
        <f t="shared" si="0"/>
        <v>6750</v>
      </c>
      <c r="L10" s="8">
        <f t="shared" si="1"/>
        <v>1028700</v>
      </c>
      <c r="M10" s="8">
        <f t="shared" si="2"/>
        <v>3124.2000000000003</v>
      </c>
    </row>
    <row r="11" spans="1:13">
      <c r="A11" s="24">
        <v>10</v>
      </c>
      <c r="B11" s="24" t="s">
        <v>57</v>
      </c>
      <c r="C11" s="8">
        <v>7038078</v>
      </c>
      <c r="D11" s="8" t="s">
        <v>58</v>
      </c>
      <c r="E11" s="8">
        <v>1</v>
      </c>
      <c r="F11" s="25">
        <v>163.6</v>
      </c>
      <c r="G11" s="8">
        <v>60</v>
      </c>
      <c r="H11" s="8">
        <v>53</v>
      </c>
      <c r="I11" s="8">
        <v>5</v>
      </c>
      <c r="J11" s="23">
        <v>22.5</v>
      </c>
      <c r="K11" s="8">
        <f t="shared" si="0"/>
        <v>15900</v>
      </c>
      <c r="L11" s="8">
        <f t="shared" si="1"/>
        <v>2601240</v>
      </c>
      <c r="M11" s="8">
        <f t="shared" si="2"/>
        <v>3681</v>
      </c>
    </row>
    <row r="12" spans="1:13">
      <c r="A12" s="24">
        <v>11</v>
      </c>
      <c r="B12" s="24" t="s">
        <v>60</v>
      </c>
      <c r="C12" s="8">
        <v>7038088</v>
      </c>
      <c r="D12" s="8" t="s">
        <v>61</v>
      </c>
      <c r="E12" s="8">
        <v>1</v>
      </c>
      <c r="F12" s="25">
        <v>186</v>
      </c>
      <c r="G12" s="8">
        <v>285</v>
      </c>
      <c r="H12" s="8">
        <v>143</v>
      </c>
      <c r="I12" s="8">
        <v>180</v>
      </c>
      <c r="J12" s="23">
        <v>24.5</v>
      </c>
      <c r="K12" s="8">
        <f t="shared" si="0"/>
        <v>7335900</v>
      </c>
      <c r="L12" s="8">
        <f t="shared" si="1"/>
        <v>1364477400</v>
      </c>
      <c r="M12" s="8">
        <f t="shared" si="2"/>
        <v>4557</v>
      </c>
    </row>
    <row r="13" spans="1:13">
      <c r="A13" s="24">
        <v>12</v>
      </c>
      <c r="B13" s="24" t="s">
        <v>62</v>
      </c>
      <c r="C13" s="8">
        <v>7038089</v>
      </c>
      <c r="D13" s="8" t="s">
        <v>63</v>
      </c>
      <c r="E13" s="8">
        <v>1</v>
      </c>
      <c r="F13" s="25">
        <v>197.2</v>
      </c>
      <c r="G13" s="8">
        <v>285</v>
      </c>
      <c r="H13" s="8">
        <v>213</v>
      </c>
      <c r="I13" s="8">
        <v>63</v>
      </c>
      <c r="J13" s="23">
        <v>26.5</v>
      </c>
      <c r="K13" s="8">
        <f t="shared" si="0"/>
        <v>3824415</v>
      </c>
      <c r="L13" s="8">
        <f t="shared" si="1"/>
        <v>754174638</v>
      </c>
      <c r="M13" s="8">
        <f t="shared" si="2"/>
        <v>5225.7999999999993</v>
      </c>
    </row>
    <row r="14" spans="1:13">
      <c r="A14" s="24">
        <v>13</v>
      </c>
      <c r="B14" s="24" t="s">
        <v>64</v>
      </c>
      <c r="C14" s="8">
        <v>7041102</v>
      </c>
      <c r="D14" s="8" t="s">
        <v>65</v>
      </c>
      <c r="E14" s="8">
        <v>1</v>
      </c>
      <c r="F14" s="25">
        <v>208.4</v>
      </c>
      <c r="G14" s="8">
        <v>84</v>
      </c>
      <c r="H14" s="8">
        <v>34</v>
      </c>
      <c r="I14" s="8">
        <v>5</v>
      </c>
      <c r="J14" s="22">
        <v>28.5</v>
      </c>
      <c r="K14" s="8">
        <f t="shared" si="0"/>
        <v>14280</v>
      </c>
      <c r="L14" s="8">
        <f t="shared" si="1"/>
        <v>2975952</v>
      </c>
      <c r="M14" s="8">
        <f t="shared" si="2"/>
        <v>5939.4000000000005</v>
      </c>
    </row>
    <row r="15" spans="1:13">
      <c r="A15" s="24">
        <v>14</v>
      </c>
      <c r="B15" s="24" t="s">
        <v>68</v>
      </c>
      <c r="C15" s="8">
        <v>7041103</v>
      </c>
      <c r="D15" s="8" t="s">
        <v>69</v>
      </c>
      <c r="E15" s="8">
        <v>1</v>
      </c>
      <c r="F15" s="25">
        <v>230.8</v>
      </c>
      <c r="G15" s="8">
        <v>50</v>
      </c>
      <c r="H15" s="8">
        <v>40</v>
      </c>
      <c r="I15" s="8">
        <v>16</v>
      </c>
      <c r="J15" s="23">
        <v>30.5</v>
      </c>
      <c r="K15" s="8">
        <f t="shared" si="0"/>
        <v>32000</v>
      </c>
      <c r="L15" s="8">
        <f t="shared" si="1"/>
        <v>7385600</v>
      </c>
      <c r="M15" s="8">
        <f t="shared" si="2"/>
        <v>7039.4000000000005</v>
      </c>
    </row>
    <row r="16" spans="1:13">
      <c r="A16" s="24">
        <v>15</v>
      </c>
      <c r="B16" s="24" t="s">
        <v>70</v>
      </c>
      <c r="C16" s="8">
        <v>7038090</v>
      </c>
      <c r="D16" s="8" t="s">
        <v>71</v>
      </c>
      <c r="E16" s="8">
        <v>1</v>
      </c>
      <c r="F16" s="25">
        <v>242</v>
      </c>
      <c r="G16" s="8">
        <v>222</v>
      </c>
      <c r="H16" s="8">
        <v>236</v>
      </c>
      <c r="I16" s="8">
        <v>4</v>
      </c>
      <c r="J16" s="23">
        <v>32.5</v>
      </c>
      <c r="K16" s="8">
        <f t="shared" si="0"/>
        <v>209568</v>
      </c>
      <c r="L16" s="8">
        <f t="shared" si="1"/>
        <v>50715456</v>
      </c>
      <c r="M16" s="8">
        <f t="shared" si="2"/>
        <v>7865</v>
      </c>
    </row>
    <row r="17" spans="1:13">
      <c r="A17" s="24">
        <v>16</v>
      </c>
      <c r="B17" s="24" t="s">
        <v>72</v>
      </c>
      <c r="C17" s="8">
        <v>7038091</v>
      </c>
      <c r="D17" s="8" t="s">
        <v>73</v>
      </c>
      <c r="E17" s="8">
        <v>1</v>
      </c>
      <c r="F17" s="25">
        <v>253.2</v>
      </c>
      <c r="G17" s="8">
        <v>223</v>
      </c>
      <c r="H17" s="8">
        <v>237</v>
      </c>
      <c r="I17" s="8">
        <v>5</v>
      </c>
      <c r="J17" s="23">
        <v>34.5</v>
      </c>
      <c r="K17" s="8">
        <f t="shared" si="0"/>
        <v>264255</v>
      </c>
      <c r="L17" s="8">
        <f t="shared" si="1"/>
        <v>66909366</v>
      </c>
      <c r="M17" s="8">
        <f t="shared" si="2"/>
        <v>8735.4</v>
      </c>
    </row>
    <row r="18" spans="1:13">
      <c r="A18" s="24">
        <v>17</v>
      </c>
      <c r="B18" s="24" t="s">
        <v>74</v>
      </c>
      <c r="C18" s="8">
        <v>7041105</v>
      </c>
      <c r="D18" s="8" t="s">
        <v>75</v>
      </c>
      <c r="E18" s="8">
        <v>1</v>
      </c>
      <c r="F18" s="25">
        <v>275.60000000000002</v>
      </c>
      <c r="G18" s="8">
        <v>122</v>
      </c>
      <c r="H18" s="8">
        <v>90</v>
      </c>
      <c r="I18" s="8">
        <v>92</v>
      </c>
      <c r="J18" s="22">
        <v>36.5</v>
      </c>
      <c r="K18" s="8">
        <f t="shared" si="0"/>
        <v>1010160</v>
      </c>
      <c r="L18" s="8">
        <f t="shared" si="1"/>
        <v>278400096</v>
      </c>
      <c r="M18" s="8">
        <f t="shared" si="2"/>
        <v>10059.400000000001</v>
      </c>
    </row>
    <row r="19" spans="1:13">
      <c r="A19" s="24">
        <v>18</v>
      </c>
      <c r="B19" s="24" t="s">
        <v>76</v>
      </c>
      <c r="C19" s="8">
        <v>7041106</v>
      </c>
      <c r="D19" s="8" t="s">
        <v>77</v>
      </c>
      <c r="E19" s="8">
        <v>1</v>
      </c>
      <c r="F19" s="25">
        <v>286.8</v>
      </c>
      <c r="G19" s="8">
        <v>150</v>
      </c>
      <c r="H19" s="8">
        <v>90</v>
      </c>
      <c r="I19" s="8">
        <v>110</v>
      </c>
      <c r="J19" s="23">
        <v>38.5</v>
      </c>
      <c r="K19" s="8">
        <f t="shared" si="0"/>
        <v>1485000</v>
      </c>
      <c r="L19" s="8">
        <f t="shared" si="1"/>
        <v>425898000</v>
      </c>
      <c r="M19" s="8">
        <f t="shared" si="2"/>
        <v>11041.800000000001</v>
      </c>
    </row>
    <row r="20" spans="1:13">
      <c r="A20" s="24">
        <v>19</v>
      </c>
      <c r="B20" s="24" t="s">
        <v>78</v>
      </c>
      <c r="C20" s="8">
        <v>2019417</v>
      </c>
      <c r="D20" s="8" t="s">
        <v>79</v>
      </c>
      <c r="E20" s="8">
        <v>1</v>
      </c>
      <c r="F20" s="25">
        <v>298</v>
      </c>
      <c r="G20" s="8">
        <v>75</v>
      </c>
      <c r="H20" s="8">
        <v>35</v>
      </c>
      <c r="I20" s="8">
        <v>35</v>
      </c>
      <c r="J20" s="23">
        <v>40.5</v>
      </c>
      <c r="K20" s="8">
        <f t="shared" si="0"/>
        <v>91875</v>
      </c>
      <c r="L20" s="8">
        <f t="shared" si="1"/>
        <v>27378750</v>
      </c>
      <c r="M20" s="8">
        <f t="shared" si="2"/>
        <v>12069</v>
      </c>
    </row>
    <row r="21" spans="1:13">
      <c r="A21" s="24">
        <v>20</v>
      </c>
      <c r="B21" s="24" t="s">
        <v>90</v>
      </c>
      <c r="C21" s="8">
        <v>7038276</v>
      </c>
      <c r="D21" s="8" t="s">
        <v>91</v>
      </c>
      <c r="E21" s="8">
        <v>1</v>
      </c>
      <c r="F21" s="25">
        <v>354</v>
      </c>
      <c r="G21" s="8">
        <v>221</v>
      </c>
      <c r="H21" s="8">
        <v>116</v>
      </c>
      <c r="I21" s="8">
        <v>149</v>
      </c>
      <c r="J21" s="23">
        <v>42.5</v>
      </c>
      <c r="K21" s="8">
        <f t="shared" si="0"/>
        <v>3819764</v>
      </c>
      <c r="L21" s="8">
        <f t="shared" si="1"/>
        <v>1352196456</v>
      </c>
      <c r="M21" s="8">
        <f t="shared" si="2"/>
        <v>15045</v>
      </c>
    </row>
    <row r="22" spans="1:13">
      <c r="A22" s="24">
        <v>21</v>
      </c>
      <c r="B22" s="24" t="s">
        <v>92</v>
      </c>
      <c r="C22" s="8">
        <v>7038277</v>
      </c>
      <c r="D22" s="8" t="s">
        <v>93</v>
      </c>
      <c r="E22" s="8">
        <v>1</v>
      </c>
      <c r="F22" s="25">
        <v>365.2</v>
      </c>
      <c r="G22" s="8">
        <v>221</v>
      </c>
      <c r="H22" s="8">
        <v>242</v>
      </c>
      <c r="I22" s="8">
        <v>149</v>
      </c>
      <c r="J22" s="22">
        <v>44.5</v>
      </c>
      <c r="K22" s="8">
        <f t="shared" si="0"/>
        <v>7968818</v>
      </c>
      <c r="L22" s="8">
        <f t="shared" si="1"/>
        <v>2910212333.5999999</v>
      </c>
      <c r="M22" s="8">
        <f t="shared" si="2"/>
        <v>16251.4</v>
      </c>
    </row>
    <row r="23" spans="1:13">
      <c r="A23" s="24">
        <v>22</v>
      </c>
      <c r="B23" s="24" t="s">
        <v>95</v>
      </c>
      <c r="C23" s="8">
        <v>7038278</v>
      </c>
      <c r="D23" s="8" t="s">
        <v>96</v>
      </c>
      <c r="E23" s="8">
        <v>1</v>
      </c>
      <c r="F23" s="25">
        <v>376.4</v>
      </c>
      <c r="G23" s="8">
        <v>221</v>
      </c>
      <c r="H23" s="8">
        <v>242</v>
      </c>
      <c r="I23" s="8">
        <v>149</v>
      </c>
      <c r="J23" s="23">
        <v>46.5</v>
      </c>
      <c r="K23" s="8">
        <f t="shared" si="0"/>
        <v>7968818</v>
      </c>
      <c r="L23" s="8">
        <f t="shared" si="1"/>
        <v>2999463095.1999998</v>
      </c>
      <c r="M23" s="8">
        <f t="shared" si="2"/>
        <v>17502.599999999999</v>
      </c>
    </row>
    <row r="24" spans="1:13">
      <c r="A24" s="24">
        <v>23</v>
      </c>
      <c r="B24" s="24" t="s">
        <v>97</v>
      </c>
      <c r="C24" s="8">
        <v>7038279</v>
      </c>
      <c r="D24" s="8" t="s">
        <v>98</v>
      </c>
      <c r="E24" s="8">
        <v>1</v>
      </c>
      <c r="F24" s="25">
        <v>387.6</v>
      </c>
      <c r="G24" s="8">
        <v>221</v>
      </c>
      <c r="H24" s="8">
        <v>116</v>
      </c>
      <c r="I24" s="8">
        <v>149</v>
      </c>
      <c r="J24" s="23">
        <v>48.5</v>
      </c>
      <c r="K24" s="8">
        <f t="shared" si="0"/>
        <v>3819764</v>
      </c>
      <c r="L24" s="8">
        <f t="shared" si="1"/>
        <v>1480540526.4000001</v>
      </c>
      <c r="M24" s="8">
        <f t="shared" si="2"/>
        <v>18798.600000000002</v>
      </c>
    </row>
    <row r="25" spans="1:13">
      <c r="A25" s="24">
        <v>24</v>
      </c>
      <c r="B25" s="24" t="s">
        <v>99</v>
      </c>
      <c r="C25" s="8">
        <v>7038280</v>
      </c>
      <c r="D25" s="8" t="s">
        <v>100</v>
      </c>
      <c r="E25" s="8">
        <v>1</v>
      </c>
      <c r="F25" s="25">
        <v>398.8</v>
      </c>
      <c r="G25" s="8">
        <v>221</v>
      </c>
      <c r="H25" s="8">
        <v>242</v>
      </c>
      <c r="I25" s="8">
        <v>149</v>
      </c>
      <c r="J25" s="23">
        <v>50.5</v>
      </c>
      <c r="K25" s="8">
        <f t="shared" si="0"/>
        <v>7968818</v>
      </c>
      <c r="L25" s="8">
        <f t="shared" si="1"/>
        <v>3177964618.4000001</v>
      </c>
      <c r="M25" s="8">
        <f t="shared" si="2"/>
        <v>20139.400000000001</v>
      </c>
    </row>
    <row r="26" spans="1:13">
      <c r="A26" s="24">
        <v>25</v>
      </c>
      <c r="B26" s="24" t="s">
        <v>101</v>
      </c>
      <c r="C26" s="8">
        <v>7038281</v>
      </c>
      <c r="D26" s="8" t="s">
        <v>102</v>
      </c>
      <c r="E26" s="8">
        <v>1</v>
      </c>
      <c r="F26" s="25">
        <v>410</v>
      </c>
      <c r="G26" s="8">
        <v>221</v>
      </c>
      <c r="H26" s="8">
        <v>242</v>
      </c>
      <c r="I26" s="8">
        <v>149</v>
      </c>
      <c r="J26" s="22">
        <v>52.5</v>
      </c>
      <c r="K26" s="8">
        <f t="shared" si="0"/>
        <v>7968818</v>
      </c>
      <c r="L26" s="8">
        <f t="shared" si="1"/>
        <v>3267215380</v>
      </c>
      <c r="M26" s="8">
        <f t="shared" si="2"/>
        <v>21525</v>
      </c>
    </row>
    <row r="27" spans="1:13">
      <c r="A27" s="24">
        <v>26</v>
      </c>
      <c r="B27" s="24" t="s">
        <v>103</v>
      </c>
      <c r="C27" s="8">
        <v>7038231</v>
      </c>
      <c r="D27" s="8" t="s">
        <v>104</v>
      </c>
      <c r="E27" s="8">
        <v>1</v>
      </c>
      <c r="F27" s="25">
        <v>421.2</v>
      </c>
      <c r="G27" s="8">
        <v>650</v>
      </c>
      <c r="H27" s="8">
        <v>643</v>
      </c>
      <c r="I27" s="8">
        <v>26</v>
      </c>
      <c r="J27" s="23">
        <v>54.5</v>
      </c>
      <c r="K27" s="8">
        <f t="shared" si="0"/>
        <v>10866700</v>
      </c>
      <c r="L27" s="8">
        <f t="shared" si="1"/>
        <v>4577054040</v>
      </c>
      <c r="M27" s="8">
        <f t="shared" si="2"/>
        <v>22955.399999999998</v>
      </c>
    </row>
    <row r="28" spans="1:13">
      <c r="A28" s="24">
        <v>27</v>
      </c>
      <c r="B28" s="24" t="s">
        <v>105</v>
      </c>
      <c r="C28" s="8">
        <v>7038232</v>
      </c>
      <c r="D28" s="8" t="s">
        <v>106</v>
      </c>
      <c r="E28" s="8">
        <v>1</v>
      </c>
      <c r="F28" s="25">
        <v>432.4</v>
      </c>
      <c r="G28" s="8">
        <v>650</v>
      </c>
      <c r="H28" s="8">
        <v>643</v>
      </c>
      <c r="I28" s="8">
        <v>6</v>
      </c>
      <c r="J28" s="23">
        <v>56.5</v>
      </c>
      <c r="K28" s="8">
        <f t="shared" si="0"/>
        <v>2507700</v>
      </c>
      <c r="L28" s="8">
        <f t="shared" si="1"/>
        <v>1084329480</v>
      </c>
      <c r="M28" s="8">
        <f t="shared" si="2"/>
        <v>24430.6</v>
      </c>
    </row>
    <row r="29" spans="1:13">
      <c r="A29" s="24">
        <v>28</v>
      </c>
      <c r="B29" s="24" t="s">
        <v>109</v>
      </c>
      <c r="C29" s="8">
        <v>7041107</v>
      </c>
      <c r="D29" s="8" t="s">
        <v>110</v>
      </c>
      <c r="E29" s="8">
        <v>4</v>
      </c>
      <c r="F29" s="25">
        <v>454.8</v>
      </c>
      <c r="G29" s="8">
        <v>191</v>
      </c>
      <c r="H29" s="8">
        <v>20</v>
      </c>
      <c r="I29" s="8">
        <v>12</v>
      </c>
      <c r="J29" s="23">
        <v>58.5</v>
      </c>
      <c r="K29" s="8">
        <f t="shared" si="0"/>
        <v>45840</v>
      </c>
      <c r="L29" s="8">
        <f t="shared" si="1"/>
        <v>20848032</v>
      </c>
      <c r="M29" s="8">
        <f t="shared" si="2"/>
        <v>26605.8</v>
      </c>
    </row>
    <row r="30" spans="1:13">
      <c r="A30" s="24">
        <v>29</v>
      </c>
      <c r="B30" s="24" t="s">
        <v>111</v>
      </c>
      <c r="C30" s="8">
        <v>7038234</v>
      </c>
      <c r="D30" s="8" t="s">
        <v>112</v>
      </c>
      <c r="E30" s="8">
        <v>3</v>
      </c>
      <c r="F30" s="25">
        <v>466</v>
      </c>
      <c r="G30" s="8">
        <v>62</v>
      </c>
      <c r="H30" s="8">
        <v>20</v>
      </c>
      <c r="I30" s="8">
        <v>12</v>
      </c>
      <c r="J30" s="22">
        <v>60.5</v>
      </c>
      <c r="K30" s="8">
        <f t="shared" si="0"/>
        <v>14880</v>
      </c>
      <c r="L30" s="8">
        <f t="shared" si="1"/>
        <v>6934080</v>
      </c>
      <c r="M30" s="8">
        <f t="shared" si="2"/>
        <v>28193</v>
      </c>
    </row>
    <row r="31" spans="1:13">
      <c r="A31" s="24">
        <v>30</v>
      </c>
      <c r="B31" s="24" t="s">
        <v>115</v>
      </c>
      <c r="C31" s="8">
        <v>7038238</v>
      </c>
      <c r="D31" s="8" t="s">
        <v>116</v>
      </c>
      <c r="E31" s="8">
        <v>1</v>
      </c>
      <c r="F31" s="25">
        <v>488.4</v>
      </c>
      <c r="G31" s="8">
        <v>402</v>
      </c>
      <c r="H31" s="8">
        <v>96</v>
      </c>
      <c r="I31" s="8">
        <v>96</v>
      </c>
      <c r="J31" s="23">
        <v>62.5</v>
      </c>
      <c r="K31" s="8">
        <f t="shared" si="0"/>
        <v>3704832</v>
      </c>
      <c r="L31" s="8">
        <f t="shared" si="1"/>
        <v>1809439948.8</v>
      </c>
      <c r="M31" s="8">
        <f t="shared" si="2"/>
        <v>30525</v>
      </c>
    </row>
    <row r="32" spans="1:13">
      <c r="A32" s="24">
        <v>31</v>
      </c>
      <c r="B32" s="24" t="s">
        <v>117</v>
      </c>
      <c r="C32" s="8">
        <v>2017948</v>
      </c>
      <c r="D32" s="8" t="s">
        <v>118</v>
      </c>
      <c r="E32" s="8">
        <v>1</v>
      </c>
      <c r="F32" s="25">
        <v>499.6</v>
      </c>
      <c r="G32" s="8">
        <v>350</v>
      </c>
      <c r="H32" s="8">
        <v>32</v>
      </c>
      <c r="I32" s="8">
        <v>32</v>
      </c>
      <c r="J32" s="23">
        <v>64.5</v>
      </c>
      <c r="K32" s="8">
        <f t="shared" si="0"/>
        <v>358400</v>
      </c>
      <c r="L32" s="8">
        <f t="shared" si="1"/>
        <v>179056640</v>
      </c>
      <c r="M32" s="8">
        <f t="shared" si="2"/>
        <v>32224.2</v>
      </c>
    </row>
    <row r="33" spans="1:13">
      <c r="A33" s="24">
        <v>32</v>
      </c>
      <c r="B33" s="24" t="s">
        <v>130</v>
      </c>
      <c r="C33" s="8">
        <v>7038248</v>
      </c>
      <c r="D33" s="8" t="s">
        <v>131</v>
      </c>
      <c r="E33" s="8">
        <v>1</v>
      </c>
      <c r="F33" s="25">
        <v>566.79999999999995</v>
      </c>
      <c r="G33" s="8">
        <v>656</v>
      </c>
      <c r="H33" s="8">
        <v>542</v>
      </c>
      <c r="I33" s="8">
        <v>118</v>
      </c>
      <c r="J33" s="23">
        <v>66.5</v>
      </c>
      <c r="K33" s="8">
        <f t="shared" si="0"/>
        <v>41955136</v>
      </c>
      <c r="L33" s="8">
        <f t="shared" si="1"/>
        <v>23780171084.799999</v>
      </c>
      <c r="M33" s="8">
        <f t="shared" si="2"/>
        <v>37692.199999999997</v>
      </c>
    </row>
    <row r="34" spans="1:13">
      <c r="A34" s="24">
        <v>33</v>
      </c>
      <c r="B34" s="24" t="s">
        <v>132</v>
      </c>
      <c r="C34" s="8">
        <v>2017967</v>
      </c>
      <c r="D34" s="8" t="s">
        <v>133</v>
      </c>
      <c r="E34" s="8">
        <v>1</v>
      </c>
      <c r="F34" s="25">
        <v>578</v>
      </c>
      <c r="G34" s="8">
        <v>700</v>
      </c>
      <c r="H34" s="8">
        <v>526</v>
      </c>
      <c r="I34" s="8">
        <v>83</v>
      </c>
      <c r="J34" s="22">
        <v>68.5</v>
      </c>
      <c r="K34" s="8">
        <f t="shared" si="0"/>
        <v>30560600</v>
      </c>
      <c r="L34" s="8">
        <f t="shared" si="1"/>
        <v>17664026800</v>
      </c>
      <c r="M34" s="8">
        <f t="shared" si="2"/>
        <v>39593</v>
      </c>
    </row>
    <row r="35" spans="1:13">
      <c r="A35" s="24">
        <v>34</v>
      </c>
      <c r="B35" s="24" t="s">
        <v>135</v>
      </c>
      <c r="C35" s="8">
        <v>2017968</v>
      </c>
      <c r="D35" s="8" t="s">
        <v>136</v>
      </c>
      <c r="E35" s="8">
        <v>4</v>
      </c>
      <c r="F35" s="25">
        <v>589.20000000000005</v>
      </c>
      <c r="G35" s="8">
        <v>63</v>
      </c>
      <c r="H35" s="8">
        <v>50</v>
      </c>
      <c r="I35" s="8">
        <v>29</v>
      </c>
      <c r="J35" s="23">
        <v>70.5</v>
      </c>
      <c r="K35" s="8">
        <f t="shared" si="0"/>
        <v>91350</v>
      </c>
      <c r="L35" s="8">
        <f t="shared" si="1"/>
        <v>53823420.000000007</v>
      </c>
      <c r="M35" s="8">
        <f t="shared" si="2"/>
        <v>41538.600000000006</v>
      </c>
    </row>
    <row r="36" spans="1:13">
      <c r="A36" s="24">
        <v>35</v>
      </c>
      <c r="B36" s="24" t="s">
        <v>137</v>
      </c>
      <c r="C36" s="8">
        <v>2017969</v>
      </c>
      <c r="D36" s="8" t="s">
        <v>138</v>
      </c>
      <c r="E36" s="8">
        <v>1</v>
      </c>
      <c r="F36" s="25">
        <v>600.4</v>
      </c>
      <c r="G36" s="8">
        <v>1637</v>
      </c>
      <c r="H36" s="8">
        <v>520</v>
      </c>
      <c r="I36" s="8">
        <v>35</v>
      </c>
      <c r="J36" s="23">
        <v>72.5</v>
      </c>
      <c r="K36" s="8">
        <f t="shared" si="0"/>
        <v>29793400</v>
      </c>
      <c r="L36" s="8">
        <f t="shared" si="1"/>
        <v>17887957360</v>
      </c>
      <c r="M36" s="8">
        <f t="shared" si="2"/>
        <v>43529</v>
      </c>
    </row>
    <row r="37" spans="1:13">
      <c r="A37" s="24">
        <v>36</v>
      </c>
      <c r="B37" s="24" t="s">
        <v>139</v>
      </c>
      <c r="C37" s="8">
        <v>7038251</v>
      </c>
      <c r="D37" s="8" t="s">
        <v>140</v>
      </c>
      <c r="E37" s="8">
        <v>1</v>
      </c>
      <c r="F37" s="25">
        <v>622.79999999999995</v>
      </c>
      <c r="G37" s="8">
        <v>314</v>
      </c>
      <c r="H37" s="8">
        <v>283</v>
      </c>
      <c r="I37" s="8">
        <v>70</v>
      </c>
      <c r="J37" s="23">
        <v>74.5</v>
      </c>
      <c r="K37" s="8">
        <f t="shared" si="0"/>
        <v>6220340</v>
      </c>
      <c r="L37" s="8">
        <f t="shared" si="1"/>
        <v>3874027751.9999995</v>
      </c>
      <c r="M37" s="8">
        <f t="shared" si="2"/>
        <v>46398.6</v>
      </c>
    </row>
    <row r="38" spans="1:13">
      <c r="A38" s="24">
        <v>37</v>
      </c>
      <c r="B38" s="24" t="s">
        <v>141</v>
      </c>
      <c r="C38" s="8">
        <v>7038252</v>
      </c>
      <c r="D38" s="8" t="s">
        <v>142</v>
      </c>
      <c r="E38" s="8">
        <v>1</v>
      </c>
      <c r="F38" s="25">
        <v>634</v>
      </c>
      <c r="G38" s="8">
        <v>248</v>
      </c>
      <c r="H38" s="8">
        <v>276</v>
      </c>
      <c r="I38" s="8">
        <v>8</v>
      </c>
      <c r="J38" s="22">
        <v>76.5</v>
      </c>
      <c r="K38" s="8">
        <f t="shared" si="0"/>
        <v>547584</v>
      </c>
      <c r="L38" s="8">
        <f t="shared" si="1"/>
        <v>347168256</v>
      </c>
      <c r="M38" s="8">
        <f t="shared" si="2"/>
        <v>48501</v>
      </c>
    </row>
    <row r="39" spans="1:13">
      <c r="A39" s="24">
        <v>38</v>
      </c>
      <c r="B39" s="24" t="s">
        <v>143</v>
      </c>
      <c r="C39" s="8">
        <v>7038253</v>
      </c>
      <c r="D39" s="8" t="s">
        <v>144</v>
      </c>
      <c r="E39" s="8">
        <v>1</v>
      </c>
      <c r="F39" s="25">
        <v>645.20000000000005</v>
      </c>
      <c r="G39" s="8">
        <v>78.2</v>
      </c>
      <c r="H39" s="8">
        <v>35</v>
      </c>
      <c r="I39" s="8">
        <v>8</v>
      </c>
      <c r="J39" s="23">
        <v>78.5</v>
      </c>
      <c r="K39" s="8">
        <f t="shared" si="0"/>
        <v>21896</v>
      </c>
      <c r="L39" s="8">
        <f t="shared" si="1"/>
        <v>14127299.200000001</v>
      </c>
      <c r="M39" s="8">
        <f t="shared" si="2"/>
        <v>50648.200000000004</v>
      </c>
    </row>
    <row r="40" spans="1:13">
      <c r="A40" s="24">
        <v>39</v>
      </c>
      <c r="B40" s="24" t="s">
        <v>145</v>
      </c>
      <c r="C40" s="8">
        <v>7038254</v>
      </c>
      <c r="D40" s="8" t="s">
        <v>146</v>
      </c>
      <c r="E40" s="8">
        <v>1</v>
      </c>
      <c r="F40" s="25">
        <v>656.4</v>
      </c>
      <c r="G40" s="8">
        <v>70</v>
      </c>
      <c r="H40" s="8">
        <v>75</v>
      </c>
      <c r="I40" s="8">
        <v>8</v>
      </c>
      <c r="J40" s="23">
        <v>80.5</v>
      </c>
      <c r="K40" s="8">
        <f t="shared" si="0"/>
        <v>42000</v>
      </c>
      <c r="L40" s="8">
        <f t="shared" si="1"/>
        <v>27568800</v>
      </c>
      <c r="M40" s="8">
        <f t="shared" si="2"/>
        <v>52840.2</v>
      </c>
    </row>
    <row r="41" spans="1:13">
      <c r="A41" s="24">
        <v>40</v>
      </c>
      <c r="B41" s="24" t="s">
        <v>147</v>
      </c>
      <c r="C41" s="8">
        <v>7038136</v>
      </c>
      <c r="D41" s="8" t="s">
        <v>148</v>
      </c>
      <c r="E41" s="8">
        <v>1</v>
      </c>
      <c r="F41" s="25">
        <v>667.6</v>
      </c>
      <c r="G41" s="8">
        <v>375</v>
      </c>
      <c r="H41" s="8">
        <v>170</v>
      </c>
      <c r="I41" s="8">
        <v>188</v>
      </c>
      <c r="J41" s="23">
        <v>82.5</v>
      </c>
      <c r="K41" s="8">
        <f t="shared" si="0"/>
        <v>11985000</v>
      </c>
      <c r="L41" s="8">
        <f t="shared" si="1"/>
        <v>8001186000</v>
      </c>
      <c r="M41" s="8">
        <f t="shared" si="2"/>
        <v>55077</v>
      </c>
    </row>
    <row r="42" spans="1:13">
      <c r="A42" s="24">
        <v>41</v>
      </c>
      <c r="B42" s="24" t="s">
        <v>149</v>
      </c>
      <c r="C42" s="8">
        <v>7038137</v>
      </c>
      <c r="D42" s="8" t="s">
        <v>150</v>
      </c>
      <c r="E42" s="8">
        <v>1</v>
      </c>
      <c r="F42" s="25">
        <v>678.8</v>
      </c>
      <c r="G42" s="8">
        <v>400</v>
      </c>
      <c r="H42" s="8">
        <v>170</v>
      </c>
      <c r="I42" s="8">
        <v>7</v>
      </c>
      <c r="J42" s="22">
        <v>84.5</v>
      </c>
      <c r="K42" s="8">
        <f t="shared" si="0"/>
        <v>476000</v>
      </c>
      <c r="L42" s="8">
        <f t="shared" si="1"/>
        <v>323108800</v>
      </c>
      <c r="M42" s="8">
        <f t="shared" si="2"/>
        <v>57358.6</v>
      </c>
    </row>
    <row r="43" spans="1:13">
      <c r="A43" s="24">
        <v>42</v>
      </c>
      <c r="B43" s="24" t="s">
        <v>151</v>
      </c>
      <c r="C43" s="8">
        <v>7038138</v>
      </c>
      <c r="D43" s="8" t="s">
        <v>152</v>
      </c>
      <c r="E43" s="8">
        <v>2</v>
      </c>
      <c r="F43" s="25">
        <v>690</v>
      </c>
      <c r="G43" s="8">
        <v>160</v>
      </c>
      <c r="H43" s="8">
        <v>185</v>
      </c>
      <c r="I43" s="8">
        <v>6</v>
      </c>
      <c r="J43" s="23">
        <v>86.5</v>
      </c>
      <c r="K43" s="8">
        <f t="shared" si="0"/>
        <v>177600</v>
      </c>
      <c r="L43" s="8">
        <f t="shared" si="1"/>
        <v>122544000</v>
      </c>
      <c r="M43" s="8">
        <f t="shared" si="2"/>
        <v>59685</v>
      </c>
    </row>
    <row r="44" spans="1:13">
      <c r="A44" s="24">
        <v>43</v>
      </c>
      <c r="B44" s="24" t="s">
        <v>153</v>
      </c>
      <c r="C44" s="8">
        <v>7038373</v>
      </c>
      <c r="D44" s="8" t="s">
        <v>154</v>
      </c>
      <c r="E44" s="8">
        <v>1</v>
      </c>
      <c r="F44" s="25">
        <v>701.2</v>
      </c>
      <c r="G44" s="8">
        <v>986</v>
      </c>
      <c r="H44" s="8">
        <v>888</v>
      </c>
      <c r="I44" s="8">
        <v>86</v>
      </c>
      <c r="J44" s="23">
        <v>88.5</v>
      </c>
      <c r="K44" s="8">
        <f t="shared" si="0"/>
        <v>75298848</v>
      </c>
      <c r="L44" s="8">
        <f t="shared" si="1"/>
        <v>52799552217.600006</v>
      </c>
      <c r="M44" s="8">
        <f t="shared" si="2"/>
        <v>62056.200000000004</v>
      </c>
    </row>
    <row r="45" spans="1:13">
      <c r="A45" s="24">
        <v>44</v>
      </c>
      <c r="B45" s="24" t="s">
        <v>155</v>
      </c>
      <c r="C45" s="8">
        <v>7038374</v>
      </c>
      <c r="D45" s="8" t="s">
        <v>156</v>
      </c>
      <c r="E45" s="8">
        <v>1</v>
      </c>
      <c r="F45" s="25">
        <v>712.4</v>
      </c>
      <c r="G45" s="8">
        <v>701</v>
      </c>
      <c r="H45" s="8">
        <v>195</v>
      </c>
      <c r="I45" s="8">
        <v>41</v>
      </c>
      <c r="J45" s="23">
        <v>90.5</v>
      </c>
      <c r="K45" s="8">
        <f t="shared" si="0"/>
        <v>5604495</v>
      </c>
      <c r="L45" s="8">
        <f t="shared" si="1"/>
        <v>3992642238</v>
      </c>
      <c r="M45" s="8">
        <f t="shared" si="2"/>
        <v>64472.2</v>
      </c>
    </row>
    <row r="46" spans="1:13">
      <c r="A46" s="24">
        <v>45</v>
      </c>
      <c r="B46" s="24" t="s">
        <v>158</v>
      </c>
      <c r="C46" s="8">
        <v>7038375</v>
      </c>
      <c r="D46" s="8" t="s">
        <v>159</v>
      </c>
      <c r="E46" s="8">
        <v>1</v>
      </c>
      <c r="F46" s="25">
        <v>723.6</v>
      </c>
      <c r="G46" s="8">
        <v>701</v>
      </c>
      <c r="H46" s="8">
        <v>195</v>
      </c>
      <c r="I46" s="8">
        <v>41</v>
      </c>
      <c r="J46" s="22">
        <v>92.5</v>
      </c>
      <c r="K46" s="8">
        <f t="shared" si="0"/>
        <v>5604495</v>
      </c>
      <c r="L46" s="8">
        <f t="shared" si="1"/>
        <v>4055412582</v>
      </c>
      <c r="M46" s="8">
        <f t="shared" si="2"/>
        <v>66933</v>
      </c>
    </row>
    <row r="47" spans="1:13">
      <c r="A47" s="24">
        <v>46</v>
      </c>
      <c r="B47" s="24" t="s">
        <v>160</v>
      </c>
      <c r="C47" s="8">
        <v>7038376</v>
      </c>
      <c r="D47" s="8" t="s">
        <v>161</v>
      </c>
      <c r="E47" s="8">
        <v>2</v>
      </c>
      <c r="F47" s="25">
        <v>734.8</v>
      </c>
      <c r="G47" s="8">
        <v>931</v>
      </c>
      <c r="H47" s="8">
        <v>128.6</v>
      </c>
      <c r="I47" s="8">
        <v>39</v>
      </c>
      <c r="J47" s="23">
        <v>94.5</v>
      </c>
      <c r="K47" s="8">
        <f t="shared" si="0"/>
        <v>4669337.3999999994</v>
      </c>
      <c r="L47" s="8">
        <f t="shared" si="1"/>
        <v>3431029121.5199995</v>
      </c>
      <c r="M47" s="8">
        <f t="shared" si="2"/>
        <v>69438.599999999991</v>
      </c>
    </row>
    <row r="48" spans="1:13">
      <c r="A48" s="24">
        <v>47</v>
      </c>
      <c r="B48" s="24" t="s">
        <v>162</v>
      </c>
      <c r="C48" s="8">
        <v>7038377</v>
      </c>
      <c r="D48" s="8" t="s">
        <v>163</v>
      </c>
      <c r="E48" s="8">
        <v>1</v>
      </c>
      <c r="F48" s="25">
        <v>746</v>
      </c>
      <c r="G48" s="8">
        <v>644</v>
      </c>
      <c r="H48" s="8">
        <v>118.8</v>
      </c>
      <c r="I48" s="8">
        <v>42</v>
      </c>
      <c r="J48" s="23">
        <v>96.5</v>
      </c>
      <c r="K48" s="8">
        <f t="shared" si="0"/>
        <v>3213302.4</v>
      </c>
      <c r="L48" s="8">
        <f t="shared" si="1"/>
        <v>2397123590.4000001</v>
      </c>
      <c r="M48" s="8">
        <f t="shared" si="2"/>
        <v>71989</v>
      </c>
    </row>
    <row r="49" spans="1:13">
      <c r="A49" s="24">
        <v>48</v>
      </c>
      <c r="B49" s="24" t="s">
        <v>164</v>
      </c>
      <c r="C49" s="8">
        <v>7038378</v>
      </c>
      <c r="D49" s="8" t="s">
        <v>165</v>
      </c>
      <c r="E49" s="8">
        <v>1</v>
      </c>
      <c r="F49" s="25">
        <v>757.2</v>
      </c>
      <c r="G49" s="8">
        <v>976</v>
      </c>
      <c r="H49" s="8">
        <v>211</v>
      </c>
      <c r="I49" s="8">
        <v>46.8</v>
      </c>
      <c r="J49" s="23">
        <v>98.5</v>
      </c>
      <c r="K49" s="8">
        <f t="shared" ref="K49:K69" si="3">G49*H49*I49</f>
        <v>9637804.7999999989</v>
      </c>
      <c r="L49" s="8">
        <f t="shared" ref="L49:L69" si="4">K49*F49</f>
        <v>7297745794.5599995</v>
      </c>
      <c r="M49" s="8">
        <f t="shared" ref="M49:M69" si="5">J49*F49</f>
        <v>74584.200000000012</v>
      </c>
    </row>
    <row r="50" spans="1:13">
      <c r="A50" s="24">
        <v>49</v>
      </c>
      <c r="B50" s="24" t="s">
        <v>166</v>
      </c>
      <c r="C50" s="8">
        <v>7038380</v>
      </c>
      <c r="D50" s="8" t="s">
        <v>167</v>
      </c>
      <c r="E50" s="8">
        <v>1</v>
      </c>
      <c r="F50" s="25">
        <v>768.4</v>
      </c>
      <c r="G50" s="8">
        <v>28</v>
      </c>
      <c r="H50" s="8">
        <v>38</v>
      </c>
      <c r="I50" s="8">
        <v>38</v>
      </c>
      <c r="J50" s="22">
        <v>100.5</v>
      </c>
      <c r="K50" s="8">
        <f t="shared" si="3"/>
        <v>40432</v>
      </c>
      <c r="L50" s="8">
        <f t="shared" si="4"/>
        <v>31067948.800000001</v>
      </c>
      <c r="M50" s="8">
        <f t="shared" si="5"/>
        <v>77224.2</v>
      </c>
    </row>
    <row r="51" spans="1:13">
      <c r="A51" s="24">
        <v>50</v>
      </c>
      <c r="B51" s="24" t="s">
        <v>168</v>
      </c>
      <c r="C51" s="8">
        <v>2018087</v>
      </c>
      <c r="D51" s="8" t="s">
        <v>169</v>
      </c>
      <c r="E51" s="8">
        <v>1</v>
      </c>
      <c r="F51" s="25">
        <v>779.6</v>
      </c>
      <c r="G51" s="8">
        <v>691</v>
      </c>
      <c r="H51" s="8">
        <v>650</v>
      </c>
      <c r="I51" s="8">
        <v>35</v>
      </c>
      <c r="J51" s="23">
        <v>102.5</v>
      </c>
      <c r="K51" s="8">
        <f t="shared" si="3"/>
        <v>15720250</v>
      </c>
      <c r="L51" s="8">
        <f t="shared" si="4"/>
        <v>12255506900</v>
      </c>
      <c r="M51" s="8">
        <f t="shared" si="5"/>
        <v>79909</v>
      </c>
    </row>
    <row r="52" spans="1:13">
      <c r="A52" s="24">
        <v>51</v>
      </c>
      <c r="B52" s="24" t="s">
        <v>170</v>
      </c>
      <c r="C52" s="8">
        <v>7038262</v>
      </c>
      <c r="D52" s="8" t="s">
        <v>171</v>
      </c>
      <c r="E52" s="8">
        <v>1</v>
      </c>
      <c r="F52" s="25">
        <v>790.8</v>
      </c>
      <c r="G52" s="8">
        <v>1206</v>
      </c>
      <c r="H52" s="8">
        <v>876</v>
      </c>
      <c r="I52" s="8">
        <v>68</v>
      </c>
      <c r="J52" s="23">
        <v>104.5</v>
      </c>
      <c r="K52" s="8">
        <f t="shared" si="3"/>
        <v>71839008</v>
      </c>
      <c r="L52" s="8">
        <f t="shared" si="4"/>
        <v>56810287526.399994</v>
      </c>
      <c r="M52" s="8">
        <f t="shared" si="5"/>
        <v>82638.599999999991</v>
      </c>
    </row>
    <row r="53" spans="1:13">
      <c r="A53" s="24">
        <v>52</v>
      </c>
      <c r="B53" s="24" t="s">
        <v>172</v>
      </c>
      <c r="C53" s="8">
        <v>7038263</v>
      </c>
      <c r="D53" s="8" t="s">
        <v>173</v>
      </c>
      <c r="E53" s="8">
        <v>1</v>
      </c>
      <c r="F53" s="25">
        <v>802</v>
      </c>
      <c r="G53" s="8">
        <v>1285</v>
      </c>
      <c r="H53" s="8">
        <v>956</v>
      </c>
      <c r="I53" s="8">
        <v>68</v>
      </c>
      <c r="J53" s="23">
        <v>106.5</v>
      </c>
      <c r="K53" s="8">
        <f t="shared" si="3"/>
        <v>83535280</v>
      </c>
      <c r="L53" s="8">
        <f t="shared" si="4"/>
        <v>66995294560</v>
      </c>
      <c r="M53" s="8">
        <f t="shared" si="5"/>
        <v>85413</v>
      </c>
    </row>
    <row r="54" spans="1:13">
      <c r="A54" s="24">
        <v>53</v>
      </c>
      <c r="B54" s="24" t="s">
        <v>186</v>
      </c>
      <c r="C54" s="8">
        <v>2017466</v>
      </c>
      <c r="D54" s="8" t="s">
        <v>187</v>
      </c>
      <c r="E54" s="8">
        <v>2</v>
      </c>
      <c r="F54" s="25">
        <v>891.6</v>
      </c>
      <c r="G54" s="8">
        <v>52</v>
      </c>
      <c r="H54" s="8">
        <v>41</v>
      </c>
      <c r="I54" s="8">
        <v>6</v>
      </c>
      <c r="J54" s="22">
        <v>108.5</v>
      </c>
      <c r="K54" s="8">
        <f t="shared" si="3"/>
        <v>12792</v>
      </c>
      <c r="L54" s="8">
        <f t="shared" si="4"/>
        <v>11405347.200000001</v>
      </c>
      <c r="M54" s="8">
        <f t="shared" si="5"/>
        <v>96738.6</v>
      </c>
    </row>
    <row r="55" spans="1:13">
      <c r="A55" s="24">
        <v>54</v>
      </c>
      <c r="B55" s="24" t="s">
        <v>188</v>
      </c>
      <c r="C55" s="8">
        <v>7038265</v>
      </c>
      <c r="D55" s="8" t="s">
        <v>189</v>
      </c>
      <c r="E55" s="8">
        <v>4</v>
      </c>
      <c r="F55" s="25">
        <v>902.8</v>
      </c>
      <c r="G55" s="8">
        <v>32</v>
      </c>
      <c r="H55" s="8">
        <v>36</v>
      </c>
      <c r="I55" s="8">
        <v>6</v>
      </c>
      <c r="J55" s="23">
        <v>110.5</v>
      </c>
      <c r="K55" s="8">
        <f t="shared" si="3"/>
        <v>6912</v>
      </c>
      <c r="L55" s="8">
        <f t="shared" si="4"/>
        <v>6240153.5999999996</v>
      </c>
      <c r="M55" s="8">
        <f t="shared" si="5"/>
        <v>99759.4</v>
      </c>
    </row>
    <row r="56" spans="1:13">
      <c r="A56" s="24">
        <v>55</v>
      </c>
      <c r="B56" s="24" t="s">
        <v>190</v>
      </c>
      <c r="C56" s="8">
        <v>2017345</v>
      </c>
      <c r="D56" s="8" t="s">
        <v>191</v>
      </c>
      <c r="E56" s="8">
        <v>4</v>
      </c>
      <c r="F56" s="25">
        <v>914</v>
      </c>
      <c r="G56" s="8">
        <v>12</v>
      </c>
      <c r="H56" s="8">
        <v>8</v>
      </c>
      <c r="I56" s="8">
        <v>8</v>
      </c>
      <c r="J56" s="23">
        <v>112.5</v>
      </c>
      <c r="K56" s="8">
        <f t="shared" si="3"/>
        <v>768</v>
      </c>
      <c r="L56" s="8">
        <f t="shared" si="4"/>
        <v>701952</v>
      </c>
      <c r="M56" s="8">
        <f t="shared" si="5"/>
        <v>102825</v>
      </c>
    </row>
    <row r="57" spans="1:13">
      <c r="A57" s="24">
        <v>56</v>
      </c>
      <c r="B57" s="24" t="s">
        <v>193</v>
      </c>
      <c r="C57" s="8">
        <v>2019728</v>
      </c>
      <c r="D57" s="8" t="s">
        <v>194</v>
      </c>
      <c r="E57" s="8">
        <v>1</v>
      </c>
      <c r="F57" s="25">
        <v>925.2</v>
      </c>
      <c r="G57" s="8">
        <v>1117</v>
      </c>
      <c r="H57" s="8">
        <v>586</v>
      </c>
      <c r="I57" s="8">
        <v>1.6</v>
      </c>
      <c r="J57" s="23">
        <v>114.5</v>
      </c>
      <c r="K57" s="8">
        <f t="shared" si="3"/>
        <v>1047299.2000000001</v>
      </c>
      <c r="L57" s="8">
        <f t="shared" si="4"/>
        <v>968961219.84000015</v>
      </c>
      <c r="M57" s="8">
        <f t="shared" si="5"/>
        <v>105935.40000000001</v>
      </c>
    </row>
    <row r="58" spans="1:13">
      <c r="A58" s="24">
        <v>57</v>
      </c>
      <c r="B58" s="24" t="s">
        <v>195</v>
      </c>
      <c r="C58" s="8">
        <v>7038264</v>
      </c>
      <c r="D58" s="8" t="s">
        <v>196</v>
      </c>
      <c r="E58" s="8">
        <v>2</v>
      </c>
      <c r="F58" s="25">
        <v>936.4</v>
      </c>
      <c r="G58" s="8">
        <v>301</v>
      </c>
      <c r="H58" s="8">
        <v>24</v>
      </c>
      <c r="I58" s="8">
        <v>15</v>
      </c>
      <c r="J58" s="22">
        <v>116.5</v>
      </c>
      <c r="K58" s="8">
        <f t="shared" si="3"/>
        <v>108360</v>
      </c>
      <c r="L58" s="8">
        <f t="shared" si="4"/>
        <v>101468304</v>
      </c>
      <c r="M58" s="8">
        <f t="shared" si="5"/>
        <v>109090.59999999999</v>
      </c>
    </row>
    <row r="59" spans="1:13">
      <c r="A59" s="24">
        <v>58</v>
      </c>
      <c r="B59" s="24" t="s">
        <v>217</v>
      </c>
      <c r="C59" s="8">
        <v>7038210</v>
      </c>
      <c r="D59" s="8" t="s">
        <v>218</v>
      </c>
      <c r="E59" s="8">
        <v>1</v>
      </c>
      <c r="F59" s="25">
        <v>1059.5999999999999</v>
      </c>
      <c r="G59" s="8">
        <v>365</v>
      </c>
      <c r="H59" s="8">
        <v>180</v>
      </c>
      <c r="I59" s="8">
        <v>40</v>
      </c>
      <c r="J59" s="23">
        <v>118.5</v>
      </c>
      <c r="K59" s="8">
        <f t="shared" si="3"/>
        <v>2628000</v>
      </c>
      <c r="L59" s="8">
        <f t="shared" si="4"/>
        <v>2784628799.9999995</v>
      </c>
      <c r="M59" s="8">
        <f t="shared" si="5"/>
        <v>125562.59999999999</v>
      </c>
    </row>
    <row r="60" spans="1:13">
      <c r="A60" s="24">
        <v>59</v>
      </c>
      <c r="B60" s="24" t="s">
        <v>233</v>
      </c>
      <c r="C60" s="8">
        <v>7038212</v>
      </c>
      <c r="D60" s="8" t="s">
        <v>234</v>
      </c>
      <c r="E60" s="8">
        <v>1</v>
      </c>
      <c r="F60" s="25">
        <v>1149.2</v>
      </c>
      <c r="G60" s="8">
        <v>100</v>
      </c>
      <c r="H60" s="8">
        <v>71</v>
      </c>
      <c r="I60" s="8">
        <v>44</v>
      </c>
      <c r="J60" s="23">
        <v>120.5</v>
      </c>
      <c r="K60" s="8">
        <f t="shared" si="3"/>
        <v>312400</v>
      </c>
      <c r="L60" s="8">
        <f t="shared" si="4"/>
        <v>359010080</v>
      </c>
      <c r="M60" s="8">
        <f t="shared" si="5"/>
        <v>138478.6</v>
      </c>
    </row>
    <row r="61" spans="1:13">
      <c r="A61" s="24">
        <v>60</v>
      </c>
      <c r="B61" s="24" t="s">
        <v>237</v>
      </c>
      <c r="C61" s="8">
        <v>7038213</v>
      </c>
      <c r="D61" s="8" t="s">
        <v>238</v>
      </c>
      <c r="E61" s="8">
        <v>1</v>
      </c>
      <c r="F61" s="25">
        <v>1171.5999999999999</v>
      </c>
      <c r="G61" s="8">
        <v>50</v>
      </c>
      <c r="H61" s="8">
        <v>35</v>
      </c>
      <c r="I61" s="8">
        <v>6</v>
      </c>
      <c r="J61" s="23">
        <v>122.5</v>
      </c>
      <c r="K61" s="8">
        <f t="shared" si="3"/>
        <v>10500</v>
      </c>
      <c r="L61" s="8">
        <f t="shared" si="4"/>
        <v>12301799.999999998</v>
      </c>
      <c r="M61" s="8">
        <f t="shared" si="5"/>
        <v>143521</v>
      </c>
    </row>
    <row r="62" spans="1:13">
      <c r="A62" s="24">
        <v>61</v>
      </c>
      <c r="B62" s="24" t="s">
        <v>239</v>
      </c>
      <c r="C62" s="8">
        <v>7038365</v>
      </c>
      <c r="D62" s="8" t="s">
        <v>240</v>
      </c>
      <c r="E62" s="8">
        <v>1</v>
      </c>
      <c r="F62" s="25">
        <v>1182.8</v>
      </c>
      <c r="G62" s="8">
        <v>736</v>
      </c>
      <c r="H62" s="8">
        <v>235</v>
      </c>
      <c r="I62" s="8">
        <v>90</v>
      </c>
      <c r="J62" s="22">
        <v>124.5</v>
      </c>
      <c r="K62" s="8">
        <f t="shared" si="3"/>
        <v>15566400</v>
      </c>
      <c r="L62" s="8">
        <f t="shared" si="4"/>
        <v>18411937920</v>
      </c>
      <c r="M62" s="8">
        <f t="shared" si="5"/>
        <v>147258.6</v>
      </c>
    </row>
    <row r="63" spans="1:13">
      <c r="A63" s="24">
        <v>62</v>
      </c>
      <c r="B63" s="24" t="s">
        <v>242</v>
      </c>
      <c r="C63" s="8">
        <v>2018084</v>
      </c>
      <c r="D63" s="8" t="s">
        <v>243</v>
      </c>
      <c r="E63" s="8">
        <v>1</v>
      </c>
      <c r="F63" s="25">
        <v>1194</v>
      </c>
      <c r="G63" s="8">
        <v>691</v>
      </c>
      <c r="H63" s="8">
        <v>90</v>
      </c>
      <c r="I63" s="8">
        <v>22</v>
      </c>
      <c r="J63" s="23">
        <v>126.5</v>
      </c>
      <c r="K63" s="8">
        <f t="shared" si="3"/>
        <v>1368180</v>
      </c>
      <c r="L63" s="8">
        <f t="shared" si="4"/>
        <v>1633606920</v>
      </c>
      <c r="M63" s="8">
        <f t="shared" si="5"/>
        <v>151041</v>
      </c>
    </row>
    <row r="64" spans="1:13">
      <c r="A64" s="24">
        <v>63</v>
      </c>
      <c r="B64" s="24" t="s">
        <v>245</v>
      </c>
      <c r="C64" s="8">
        <v>7038366</v>
      </c>
      <c r="D64" s="8" t="s">
        <v>246</v>
      </c>
      <c r="E64" s="8">
        <v>1</v>
      </c>
      <c r="F64" s="25">
        <v>1205.2</v>
      </c>
      <c r="G64" s="8">
        <v>65</v>
      </c>
      <c r="H64" s="8">
        <v>235</v>
      </c>
      <c r="I64" s="8">
        <v>4</v>
      </c>
      <c r="J64" s="23">
        <v>128.5</v>
      </c>
      <c r="K64" s="8">
        <f t="shared" si="3"/>
        <v>61100</v>
      </c>
      <c r="L64" s="8">
        <f t="shared" si="4"/>
        <v>73637720</v>
      </c>
      <c r="M64" s="8">
        <f t="shared" si="5"/>
        <v>154868.20000000001</v>
      </c>
    </row>
    <row r="65" spans="1:13">
      <c r="A65" s="24">
        <v>64</v>
      </c>
      <c r="B65" s="24" t="s">
        <v>249</v>
      </c>
      <c r="C65" s="8">
        <v>7038367</v>
      </c>
      <c r="D65" s="8" t="s">
        <v>250</v>
      </c>
      <c r="E65" s="8">
        <v>1</v>
      </c>
      <c r="F65" s="25">
        <v>1227.5999999999999</v>
      </c>
      <c r="G65" s="8">
        <v>130</v>
      </c>
      <c r="H65" s="8">
        <v>50</v>
      </c>
      <c r="I65" s="8">
        <v>4</v>
      </c>
      <c r="J65" s="23">
        <v>130.5</v>
      </c>
      <c r="K65" s="8">
        <f t="shared" si="3"/>
        <v>26000</v>
      </c>
      <c r="L65" s="8">
        <f t="shared" si="4"/>
        <v>31917599.999999996</v>
      </c>
      <c r="M65" s="8">
        <f t="shared" si="5"/>
        <v>160201.79999999999</v>
      </c>
    </row>
    <row r="66" spans="1:13">
      <c r="A66" s="24">
        <v>65</v>
      </c>
      <c r="B66" s="24" t="s">
        <v>251</v>
      </c>
      <c r="C66" s="8">
        <v>7038368</v>
      </c>
      <c r="D66" s="8" t="s">
        <v>252</v>
      </c>
      <c r="E66" s="8">
        <v>1</v>
      </c>
      <c r="F66" s="25">
        <v>1238.8</v>
      </c>
      <c r="G66" s="8">
        <v>125</v>
      </c>
      <c r="H66" s="8">
        <v>50</v>
      </c>
      <c r="I66" s="8">
        <v>56</v>
      </c>
      <c r="J66" s="22">
        <v>132.5</v>
      </c>
      <c r="K66" s="8">
        <f t="shared" si="3"/>
        <v>350000</v>
      </c>
      <c r="L66" s="8">
        <f t="shared" si="4"/>
        <v>433580000</v>
      </c>
      <c r="M66" s="8">
        <f t="shared" si="5"/>
        <v>164141</v>
      </c>
    </row>
    <row r="67" spans="1:13">
      <c r="A67" s="24">
        <v>66</v>
      </c>
      <c r="B67" s="24" t="s">
        <v>253</v>
      </c>
      <c r="C67" s="8">
        <v>7041672</v>
      </c>
      <c r="D67" s="8" t="s">
        <v>254</v>
      </c>
      <c r="E67" s="8">
        <v>1</v>
      </c>
      <c r="F67" s="25">
        <v>1250</v>
      </c>
      <c r="G67" s="8">
        <v>154</v>
      </c>
      <c r="H67" s="8">
        <v>290</v>
      </c>
      <c r="I67" s="8">
        <v>26</v>
      </c>
      <c r="J67" s="23">
        <v>134.5</v>
      </c>
      <c r="K67" s="8">
        <f t="shared" si="3"/>
        <v>1161160</v>
      </c>
      <c r="L67" s="8">
        <f t="shared" si="4"/>
        <v>1451450000</v>
      </c>
      <c r="M67" s="8">
        <f t="shared" si="5"/>
        <v>168125</v>
      </c>
    </row>
    <row r="68" spans="1:13">
      <c r="A68" s="24">
        <v>67</v>
      </c>
      <c r="B68" s="24" t="s">
        <v>255</v>
      </c>
      <c r="C68" s="8">
        <v>2017510</v>
      </c>
      <c r="D68" s="8" t="s">
        <v>256</v>
      </c>
      <c r="E68" s="8">
        <v>1</v>
      </c>
      <c r="F68" s="25">
        <v>1261.2</v>
      </c>
      <c r="G68" s="8">
        <v>175</v>
      </c>
      <c r="H68" s="8">
        <v>290</v>
      </c>
      <c r="I68" s="8">
        <v>21</v>
      </c>
      <c r="J68" s="23">
        <v>136.5</v>
      </c>
      <c r="K68" s="8">
        <f t="shared" si="3"/>
        <v>1065750</v>
      </c>
      <c r="L68" s="8">
        <f t="shared" si="4"/>
        <v>1344123900</v>
      </c>
      <c r="M68" s="8">
        <f t="shared" si="5"/>
        <v>172153.80000000002</v>
      </c>
    </row>
    <row r="69" spans="1:13">
      <c r="A69" s="24">
        <v>68</v>
      </c>
      <c r="B69" s="24" t="s">
        <v>257</v>
      </c>
      <c r="C69" s="8">
        <v>2020283</v>
      </c>
      <c r="D69" s="8" t="s">
        <v>258</v>
      </c>
      <c r="E69" s="8">
        <v>2</v>
      </c>
      <c r="F69" s="25">
        <v>1272.4000000000001</v>
      </c>
      <c r="G69" s="8">
        <v>18</v>
      </c>
      <c r="H69" s="8">
        <v>15</v>
      </c>
      <c r="I69" s="8">
        <v>15</v>
      </c>
      <c r="J69" s="23">
        <v>138.5</v>
      </c>
      <c r="K69" s="8">
        <f t="shared" si="3"/>
        <v>4050</v>
      </c>
      <c r="L69" s="8">
        <f t="shared" si="4"/>
        <v>5153220</v>
      </c>
      <c r="M69" s="8">
        <f t="shared" si="5"/>
        <v>176227.40000000002</v>
      </c>
    </row>
  </sheetData>
  <autoFilter ref="A1:M69" xr:uid="{79EEEB4B-8EEC-4E05-A04F-A0810C50D8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WELD C CALCULATION</vt:lpstr>
      <vt:lpstr>Input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Kanna</dc:creator>
  <cp:lastModifiedBy>Kishore Kanna</cp:lastModifiedBy>
  <dcterms:created xsi:type="dcterms:W3CDTF">2026-08-11T06:42:02Z</dcterms:created>
  <dcterms:modified xsi:type="dcterms:W3CDTF">2026-08-11T11:35:48Z</dcterms:modified>
</cp:coreProperties>
</file>
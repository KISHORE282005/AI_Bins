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13_ncr:1_{34096FD0-B1D9-4122-AF9D-41C2182113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art Requirements" sheetId="1" r:id="rId1"/>
    <sheet name="Master" sheetId="2" r:id="rId2"/>
    <sheet name="Logic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2" l="1"/>
  <c r="F10" i="2"/>
  <c r="F9" i="2"/>
  <c r="F8" i="2"/>
  <c r="F7" i="2"/>
  <c r="F6" i="2"/>
  <c r="F5" i="2"/>
  <c r="F4" i="2"/>
  <c r="F3" i="2"/>
  <c r="F2" i="2"/>
  <c r="J31" i="1"/>
  <c r="F31" i="1"/>
  <c r="H31" i="1" s="1"/>
  <c r="J30" i="1"/>
  <c r="F30" i="1"/>
  <c r="H30" i="1" s="1"/>
  <c r="J29" i="1"/>
  <c r="F29" i="1"/>
  <c r="H29" i="1" s="1"/>
  <c r="J28" i="1"/>
  <c r="F28" i="1"/>
  <c r="H28" i="1" s="1"/>
  <c r="J27" i="1"/>
  <c r="F27" i="1"/>
  <c r="H27" i="1" s="1"/>
  <c r="J26" i="1"/>
  <c r="F26" i="1"/>
  <c r="H26" i="1" s="1"/>
  <c r="J25" i="1"/>
  <c r="F25" i="1"/>
  <c r="H25" i="1" s="1"/>
  <c r="J24" i="1"/>
  <c r="F24" i="1"/>
  <c r="H24" i="1" s="1"/>
  <c r="J23" i="1"/>
  <c r="F23" i="1"/>
  <c r="H23" i="1" s="1"/>
  <c r="J22" i="1"/>
  <c r="F22" i="1"/>
  <c r="H22" i="1" s="1"/>
  <c r="J21" i="1"/>
  <c r="F21" i="1"/>
  <c r="H21" i="1" s="1"/>
  <c r="J20" i="1"/>
  <c r="F20" i="1"/>
  <c r="H20" i="1" s="1"/>
  <c r="J19" i="1"/>
  <c r="F19" i="1"/>
  <c r="H19" i="1" s="1"/>
  <c r="J18" i="1"/>
  <c r="F18" i="1"/>
  <c r="H18" i="1" s="1"/>
  <c r="J17" i="1"/>
  <c r="F17" i="1"/>
  <c r="H17" i="1" s="1"/>
  <c r="J16" i="1"/>
  <c r="F16" i="1"/>
  <c r="H16" i="1" s="1"/>
  <c r="J15" i="1"/>
  <c r="F15" i="1"/>
  <c r="H15" i="1" s="1"/>
  <c r="J14" i="1"/>
  <c r="H14" i="1"/>
  <c r="F14" i="1"/>
  <c r="J13" i="1"/>
  <c r="F13" i="1"/>
  <c r="H13" i="1" s="1"/>
  <c r="J12" i="1"/>
  <c r="H12" i="1"/>
  <c r="F12" i="1"/>
  <c r="J11" i="1"/>
  <c r="F11" i="1"/>
  <c r="H11" i="1" s="1"/>
  <c r="J10" i="1"/>
  <c r="F10" i="1"/>
  <c r="H10" i="1" s="1"/>
  <c r="J9" i="1"/>
  <c r="F9" i="1"/>
  <c r="H9" i="1" s="1"/>
  <c r="J8" i="1"/>
  <c r="F8" i="1"/>
  <c r="H8" i="1" s="1"/>
  <c r="J7" i="1"/>
  <c r="F7" i="1"/>
  <c r="H7" i="1" s="1"/>
  <c r="J6" i="1"/>
  <c r="F6" i="1"/>
  <c r="H6" i="1" s="1"/>
  <c r="J5" i="1"/>
  <c r="F5" i="1"/>
  <c r="H5" i="1" s="1"/>
  <c r="J4" i="1"/>
  <c r="F4" i="1"/>
  <c r="H4" i="1" s="1"/>
  <c r="J3" i="1"/>
  <c r="F3" i="1"/>
  <c r="H3" i="1" s="1"/>
  <c r="J2" i="1"/>
  <c r="F2" i="1"/>
  <c r="H2" i="1" s="1"/>
</calcChain>
</file>

<file path=xl/sharedStrings.xml><?xml version="1.0" encoding="utf-8"?>
<sst xmlns="http://schemas.openxmlformats.org/spreadsheetml/2006/main" count="144" uniqueCount="129">
  <si>
    <t>Part Number</t>
  </si>
  <si>
    <t>Part Description</t>
  </si>
  <si>
    <t>Length (mm)</t>
  </si>
  <si>
    <t>Breadth (mm)</t>
  </si>
  <si>
    <t>Width (mm)</t>
  </si>
  <si>
    <t>Total Volume (mm³)</t>
  </si>
  <si>
    <t>ROP (Qty)</t>
  </si>
  <si>
    <t>Required Volume (mm³)</t>
  </si>
  <si>
    <t>Material Weight/Unit (kg)</t>
  </si>
  <si>
    <t>Required Weight (kg)</t>
  </si>
  <si>
    <t>Bin Suggestion</t>
  </si>
  <si>
    <t>Suggestion Reason</t>
  </si>
  <si>
    <t>P-1001</t>
  </si>
  <si>
    <t>Steel Bracket A</t>
  </si>
  <si>
    <t>P-1002</t>
  </si>
  <si>
    <t>Aluminium Housing</t>
  </si>
  <si>
    <t>P-1003</t>
  </si>
  <si>
    <t>Motor Mount</t>
  </si>
  <si>
    <t>P-1004</t>
  </si>
  <si>
    <t>Gear Cover</t>
  </si>
  <si>
    <t>P-1005</t>
  </si>
  <si>
    <t>Support Plate</t>
  </si>
  <si>
    <t>P-1006</t>
  </si>
  <si>
    <t>Pipe Connector</t>
  </si>
  <si>
    <t>P-1007</t>
  </si>
  <si>
    <t>Control Panel Frame</t>
  </si>
  <si>
    <t>P-1008</t>
  </si>
  <si>
    <t>Bearing Block</t>
  </si>
  <si>
    <t>P-1009</t>
  </si>
  <si>
    <t>Electrical Cover</t>
  </si>
  <si>
    <t>P-1010</t>
  </si>
  <si>
    <t>Machine Guard</t>
  </si>
  <si>
    <t>P-1011</t>
  </si>
  <si>
    <t>Steel Clamp</t>
  </si>
  <si>
    <t>P-1012</t>
  </si>
  <si>
    <t>Pump Base</t>
  </si>
  <si>
    <t>P-1013</t>
  </si>
  <si>
    <t>Flange Plate</t>
  </si>
  <si>
    <t>P-1014</t>
  </si>
  <si>
    <t>Drive Cover</t>
  </si>
  <si>
    <t>P-1015</t>
  </si>
  <si>
    <t>Sensor Mount</t>
  </si>
  <si>
    <t>P-1016</t>
  </si>
  <si>
    <t>Conveyor Side Plate</t>
  </si>
  <si>
    <t>P-1017</t>
  </si>
  <si>
    <t>Shaft Support</t>
  </si>
  <si>
    <t>P-1018</t>
  </si>
  <si>
    <t>Inspection Cover</t>
  </si>
  <si>
    <t>P-1019</t>
  </si>
  <si>
    <t>Heavy Base Plate</t>
  </si>
  <si>
    <t>P-1020</t>
  </si>
  <si>
    <t>Cable Tray Section</t>
  </si>
  <si>
    <t>P-1021</t>
  </si>
  <si>
    <t>Guide Roller Housing</t>
  </si>
  <si>
    <t>P-1022</t>
  </si>
  <si>
    <t>Small Connector</t>
  </si>
  <si>
    <t>P-1023</t>
  </si>
  <si>
    <t>Reducer Housing</t>
  </si>
  <si>
    <t>P-1024</t>
  </si>
  <si>
    <t>Safety Guard</t>
  </si>
  <si>
    <t>P-1025</t>
  </si>
  <si>
    <t>Mounting Rail</t>
  </si>
  <si>
    <t>P-1026</t>
  </si>
  <si>
    <t>Valve Body</t>
  </si>
  <si>
    <t>P-1027</t>
  </si>
  <si>
    <t>Panel Support</t>
  </si>
  <si>
    <t>P-1028</t>
  </si>
  <si>
    <t>Large Bearing Cover</t>
  </si>
  <si>
    <t>P-1029</t>
  </si>
  <si>
    <t>Small Bracket</t>
  </si>
  <si>
    <t>P-1030</t>
  </si>
  <si>
    <t>Heavy Machine Plate</t>
  </si>
  <si>
    <t>Bin ID</t>
  </si>
  <si>
    <t>Bin Description</t>
  </si>
  <si>
    <t>Bin Length (mm)</t>
  </si>
  <si>
    <t>Bin Breadth (mm)</t>
  </si>
  <si>
    <t>Bin Width (mm)</t>
  </si>
  <si>
    <t>Cubic Capacity (mm³)</t>
  </si>
  <si>
    <t>Max Weight (kg)</t>
  </si>
  <si>
    <t>Location</t>
  </si>
  <si>
    <t>Status</t>
  </si>
  <si>
    <t>BIN-A01</t>
  </si>
  <si>
    <t>Small Bin</t>
  </si>
  <si>
    <t>Rack A-01</t>
  </si>
  <si>
    <t>Available</t>
  </si>
  <si>
    <t>BIN-A02</t>
  </si>
  <si>
    <t>Rack A-02</t>
  </si>
  <si>
    <t>BIN-B01</t>
  </si>
  <si>
    <t>Medium Bin</t>
  </si>
  <si>
    <t>Rack B-01</t>
  </si>
  <si>
    <t>BIN-B02</t>
  </si>
  <si>
    <t>Rack B-02</t>
  </si>
  <si>
    <t>BIN-C01</t>
  </si>
  <si>
    <t>Large Bin</t>
  </si>
  <si>
    <t>Rack C-01</t>
  </si>
  <si>
    <t>BIN-C02</t>
  </si>
  <si>
    <t>Rack C-02</t>
  </si>
  <si>
    <t>BIN-D01</t>
  </si>
  <si>
    <t>Heavy Duty Bin</t>
  </si>
  <si>
    <t>Rack D-01</t>
  </si>
  <si>
    <t>BIN-D02</t>
  </si>
  <si>
    <t>Rack D-02</t>
  </si>
  <si>
    <t>BIN-E01</t>
  </si>
  <si>
    <t>Long Material Bin</t>
  </si>
  <si>
    <t>Rack E-01</t>
  </si>
  <si>
    <t>BIN-E02</t>
  </si>
  <si>
    <t>Rack E-02</t>
  </si>
  <si>
    <t>Field</t>
  </si>
  <si>
    <t>Purpose</t>
  </si>
  <si>
    <t>Logic</t>
  </si>
  <si>
    <t>Total Volume</t>
  </si>
  <si>
    <t>Volume of one material unit</t>
  </si>
  <si>
    <t>Length × Breadth × Width</t>
  </si>
  <si>
    <t>ROP</t>
  </si>
  <si>
    <t>Required quantity / reorder point quantity</t>
  </si>
  <si>
    <t>Quantity to be maintained or planned</t>
  </si>
  <si>
    <t>Required Volume</t>
  </si>
  <si>
    <t>Total space required for ROP quantity</t>
  </si>
  <si>
    <t>Total Volume × ROP</t>
  </si>
  <si>
    <t>Required Weight</t>
  </si>
  <si>
    <t>Total weight for ROP quantity</t>
  </si>
  <si>
    <t>Material Weight/Unit × ROP</t>
  </si>
  <si>
    <t>Recommended storage bin</t>
  </si>
  <si>
    <t>Select the smallest available bin that satisfies both volume and weight requirements.</t>
  </si>
  <si>
    <t>Dimension Check</t>
  </si>
  <si>
    <t>Physical fit validation</t>
  </si>
  <si>
    <t>Each material dimension should fit within the corresponding bin dimension; orientation can be considered if required.</t>
  </si>
  <si>
    <t>Explain recommendation</t>
  </si>
  <si>
    <t>State whether the bin passed volume, weight and dimension checks and why it was selected.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</si>
</sst>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RequirementsTable" displayName="PartRequirementsTable" ref="A1:K31">
  <autoFilter ref="A1:K31" xr:uid="{00000000-0009-0000-0100-000001000000}"/>
  <tableColumns count="11">
    <tableColumn id="1" xr3:uid="{00000000-0010-0000-0000-000001000000}" name="Part Number"/>
    <tableColumn id="2" xr3:uid="{00000000-0010-0000-0000-000002000000}" name="Part Description"/>
    <tableColumn id="3" xr3:uid="{00000000-0010-0000-0000-000003000000}" name="Length (mm)"/>
    <tableColumn id="4" xr3:uid="{00000000-0010-0000-0000-000004000000}" name="Breadth (mm)"/>
    <tableColumn id="5" xr3:uid="{00000000-0010-0000-0000-000005000000}" name="Width (mm)"/>
    <tableColumn id="6" xr3:uid="{00000000-0010-0000-0000-000006000000}" name="Total Volume (mm³)"/>
    <tableColumn id="7" xr3:uid="{00000000-0010-0000-0000-000007000000}" name="ROP (Qty)"/>
    <tableColumn id="8" xr3:uid="{00000000-0010-0000-0000-000008000000}" name="Required Volume (mm³)"/>
    <tableColumn id="9" xr3:uid="{00000000-0010-0000-0000-000009000000}" name="Material Weight/Unit (kg)"/>
    <tableColumn id="10" xr3:uid="{00000000-0010-0000-0000-00000A000000}" name="Required Weight (kg)"/>
    <tableColumn id="11" xr3:uid="{00000000-0010-0000-0000-00000B000000}" name="Bin Sugges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terBinTable" displayName="MasterBinTable" ref="A1:I11">
  <autoFilter ref="A1:I11" xr:uid="{00000000-0009-0000-0100-000002000000}"/>
  <tableColumns count="9">
    <tableColumn id="1" xr3:uid="{00000000-0010-0000-0100-000001000000}" name="Bin ID"/>
    <tableColumn id="2" xr3:uid="{00000000-0010-0000-0100-000002000000}" name="Bin Description"/>
    <tableColumn id="3" xr3:uid="{00000000-0010-0000-0100-000003000000}" name="Bin Length (mm)"/>
    <tableColumn id="4" xr3:uid="{00000000-0010-0000-0100-000004000000}" name="Bin Breadth (mm)"/>
    <tableColumn id="5" xr3:uid="{00000000-0010-0000-0100-000005000000}" name="Bin Width (mm)"/>
    <tableColumn id="6" xr3:uid="{00000000-0010-0000-0100-000006000000}" name="Cubic Capacity (mm³)"/>
    <tableColumn id="7" xr3:uid="{00000000-0010-0000-0100-000007000000}" name="Max Weight (kg)"/>
    <tableColumn id="8" xr3:uid="{00000000-0010-0000-0100-000008000000}" name="Location"/>
    <tableColumn id="9" xr3:uid="{00000000-0010-0000-0100-000009000000}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pane ySplit="1" topLeftCell="A7" activePane="bottomLeft" state="frozen"/>
      <selection pane="bottomLeft" activeCell="B33" sqref="B33:L33"/>
    </sheetView>
  </sheetViews>
  <sheetFormatPr defaultRowHeight="14.4" x14ac:dyDescent="0.3"/>
  <cols>
    <col min="1" max="1" width="16" customWidth="1"/>
    <col min="2" max="2" width="25" customWidth="1"/>
    <col min="3" max="5" width="15" customWidth="1"/>
    <col min="6" max="6" width="20" customWidth="1"/>
    <col min="7" max="7" width="12" customWidth="1"/>
    <col min="8" max="8" width="23" customWidth="1"/>
    <col min="9" max="9" width="25.21875" bestFit="1" customWidth="1"/>
    <col min="10" max="10" width="27.21875" customWidth="1"/>
    <col min="11" max="11" width="26.44140625" customWidth="1"/>
    <col min="12" max="12" width="5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12</v>
      </c>
      <c r="B2" s="2" t="s">
        <v>13</v>
      </c>
      <c r="C2" s="2">
        <v>300</v>
      </c>
      <c r="D2" s="2">
        <v>200</v>
      </c>
      <c r="E2" s="2">
        <v>100</v>
      </c>
      <c r="F2" s="3">
        <f t="shared" ref="F2:F31" si="0">C2*D2*E2</f>
        <v>6000000</v>
      </c>
      <c r="G2" s="2">
        <v>20</v>
      </c>
      <c r="H2" s="3">
        <f t="shared" ref="H2:H31" si="1">F2*G2</f>
        <v>120000000</v>
      </c>
      <c r="I2" s="4">
        <v>1.8</v>
      </c>
      <c r="J2" s="4">
        <f t="shared" ref="J2:J31" si="2">G2*I2</f>
        <v>36</v>
      </c>
      <c r="K2" s="2"/>
    </row>
    <row r="3" spans="1:11" x14ac:dyDescent="0.3">
      <c r="A3" s="2" t="s">
        <v>14</v>
      </c>
      <c r="B3" s="2" t="s">
        <v>15</v>
      </c>
      <c r="C3" s="2">
        <v>450</v>
      </c>
      <c r="D3" s="2">
        <v>300</v>
      </c>
      <c r="E3" s="2">
        <v>180</v>
      </c>
      <c r="F3" s="3">
        <f t="shared" si="0"/>
        <v>24300000</v>
      </c>
      <c r="G3" s="2">
        <v>12</v>
      </c>
      <c r="H3" s="3">
        <f t="shared" si="1"/>
        <v>291600000</v>
      </c>
      <c r="I3" s="4">
        <v>3.2</v>
      </c>
      <c r="J3" s="4">
        <f t="shared" si="2"/>
        <v>38.400000000000006</v>
      </c>
      <c r="K3" s="2"/>
    </row>
    <row r="4" spans="1:11" x14ac:dyDescent="0.3">
      <c r="A4" s="2" t="s">
        <v>16</v>
      </c>
      <c r="B4" s="2" t="s">
        <v>17</v>
      </c>
      <c r="C4" s="2">
        <v>250</v>
      </c>
      <c r="D4" s="2">
        <v>180</v>
      </c>
      <c r="E4" s="2">
        <v>120</v>
      </c>
      <c r="F4" s="3">
        <f t="shared" si="0"/>
        <v>5400000</v>
      </c>
      <c r="G4" s="2">
        <v>25</v>
      </c>
      <c r="H4" s="3">
        <f t="shared" si="1"/>
        <v>135000000</v>
      </c>
      <c r="I4" s="4">
        <v>2.1</v>
      </c>
      <c r="J4" s="4">
        <f t="shared" si="2"/>
        <v>52.5</v>
      </c>
      <c r="K4" s="2"/>
    </row>
    <row r="5" spans="1:11" x14ac:dyDescent="0.3">
      <c r="A5" s="2" t="s">
        <v>18</v>
      </c>
      <c r="B5" s="2" t="s">
        <v>19</v>
      </c>
      <c r="C5" s="2">
        <v>500</v>
      </c>
      <c r="D5" s="2">
        <v>350</v>
      </c>
      <c r="E5" s="2">
        <v>220</v>
      </c>
      <c r="F5" s="3">
        <f t="shared" si="0"/>
        <v>38500000</v>
      </c>
      <c r="G5" s="2">
        <v>8</v>
      </c>
      <c r="H5" s="3">
        <f t="shared" si="1"/>
        <v>308000000</v>
      </c>
      <c r="I5" s="4">
        <v>5.4</v>
      </c>
      <c r="J5" s="4">
        <f t="shared" si="2"/>
        <v>43.2</v>
      </c>
      <c r="K5" s="2"/>
    </row>
    <row r="6" spans="1:11" x14ac:dyDescent="0.3">
      <c r="A6" s="2" t="s">
        <v>20</v>
      </c>
      <c r="B6" s="2" t="s">
        <v>21</v>
      </c>
      <c r="C6" s="2">
        <v>600</v>
      </c>
      <c r="D6" s="2">
        <v>250</v>
      </c>
      <c r="E6" s="2">
        <v>80</v>
      </c>
      <c r="F6" s="3">
        <f t="shared" si="0"/>
        <v>12000000</v>
      </c>
      <c r="G6" s="2">
        <v>15</v>
      </c>
      <c r="H6" s="3">
        <f t="shared" si="1"/>
        <v>180000000</v>
      </c>
      <c r="I6" s="4">
        <v>4</v>
      </c>
      <c r="J6" s="4">
        <f t="shared" si="2"/>
        <v>60</v>
      </c>
      <c r="K6" s="2"/>
    </row>
    <row r="7" spans="1:11" x14ac:dyDescent="0.3">
      <c r="A7" s="2" t="s">
        <v>22</v>
      </c>
      <c r="B7" s="2" t="s">
        <v>23</v>
      </c>
      <c r="C7" s="2">
        <v>180</v>
      </c>
      <c r="D7" s="2">
        <v>120</v>
      </c>
      <c r="E7" s="2">
        <v>90</v>
      </c>
      <c r="F7" s="3">
        <f t="shared" si="0"/>
        <v>1944000</v>
      </c>
      <c r="G7" s="2">
        <v>30</v>
      </c>
      <c r="H7" s="3">
        <f t="shared" si="1"/>
        <v>58320000</v>
      </c>
      <c r="I7" s="4">
        <v>1.1000000000000001</v>
      </c>
      <c r="J7" s="4">
        <f t="shared" si="2"/>
        <v>33</v>
      </c>
      <c r="K7" s="2"/>
    </row>
    <row r="8" spans="1:11" x14ac:dyDescent="0.3">
      <c r="A8" s="2" t="s">
        <v>24</v>
      </c>
      <c r="B8" s="2" t="s">
        <v>25</v>
      </c>
      <c r="C8" s="2">
        <v>700</v>
      </c>
      <c r="D8" s="2">
        <v>450</v>
      </c>
      <c r="E8" s="2">
        <v>150</v>
      </c>
      <c r="F8" s="3">
        <f t="shared" si="0"/>
        <v>47250000</v>
      </c>
      <c r="G8" s="2">
        <v>6</v>
      </c>
      <c r="H8" s="3">
        <f t="shared" si="1"/>
        <v>283500000</v>
      </c>
      <c r="I8" s="4">
        <v>7.5</v>
      </c>
      <c r="J8" s="4">
        <f t="shared" si="2"/>
        <v>45</v>
      </c>
      <c r="K8" s="2"/>
    </row>
    <row r="9" spans="1:11" x14ac:dyDescent="0.3">
      <c r="A9" s="2" t="s">
        <v>26</v>
      </c>
      <c r="B9" s="2" t="s">
        <v>27</v>
      </c>
      <c r="C9" s="2">
        <v>220</v>
      </c>
      <c r="D9" s="2">
        <v>160</v>
      </c>
      <c r="E9" s="2">
        <v>140</v>
      </c>
      <c r="F9" s="3">
        <f t="shared" si="0"/>
        <v>4928000</v>
      </c>
      <c r="G9" s="2">
        <v>18</v>
      </c>
      <c r="H9" s="3">
        <f t="shared" si="1"/>
        <v>88704000</v>
      </c>
      <c r="I9" s="4">
        <v>2.8</v>
      </c>
      <c r="J9" s="4">
        <f t="shared" si="2"/>
        <v>50.4</v>
      </c>
      <c r="K9" s="2"/>
    </row>
    <row r="10" spans="1:11" x14ac:dyDescent="0.3">
      <c r="A10" s="2" t="s">
        <v>28</v>
      </c>
      <c r="B10" s="2" t="s">
        <v>29</v>
      </c>
      <c r="C10" s="2">
        <v>350</v>
      </c>
      <c r="D10" s="2">
        <v>220</v>
      </c>
      <c r="E10" s="2">
        <v>70</v>
      </c>
      <c r="F10" s="3">
        <f t="shared" si="0"/>
        <v>5390000</v>
      </c>
      <c r="G10" s="2">
        <v>22</v>
      </c>
      <c r="H10" s="3">
        <f t="shared" si="1"/>
        <v>118580000</v>
      </c>
      <c r="I10" s="4">
        <v>1.6</v>
      </c>
      <c r="J10" s="4">
        <f t="shared" si="2"/>
        <v>35.200000000000003</v>
      </c>
      <c r="K10" s="2"/>
    </row>
    <row r="11" spans="1:11" x14ac:dyDescent="0.3">
      <c r="A11" s="2" t="s">
        <v>30</v>
      </c>
      <c r="B11" s="2" t="s">
        <v>31</v>
      </c>
      <c r="C11" s="2">
        <v>800</v>
      </c>
      <c r="D11" s="2">
        <v>500</v>
      </c>
      <c r="E11" s="2">
        <v>250</v>
      </c>
      <c r="F11" s="3">
        <f t="shared" si="0"/>
        <v>100000000</v>
      </c>
      <c r="G11" s="2">
        <v>4</v>
      </c>
      <c r="H11" s="3">
        <f t="shared" si="1"/>
        <v>400000000</v>
      </c>
      <c r="I11" s="4">
        <v>11.5</v>
      </c>
      <c r="J11" s="4">
        <f t="shared" si="2"/>
        <v>46</v>
      </c>
      <c r="K11" s="2"/>
    </row>
    <row r="12" spans="1:11" x14ac:dyDescent="0.3">
      <c r="A12" s="2" t="s">
        <v>32</v>
      </c>
      <c r="B12" s="2" t="s">
        <v>33</v>
      </c>
      <c r="C12" s="2">
        <v>160</v>
      </c>
      <c r="D12" s="2">
        <v>100</v>
      </c>
      <c r="E12" s="2">
        <v>60</v>
      </c>
      <c r="F12" s="3">
        <f t="shared" si="0"/>
        <v>960000</v>
      </c>
      <c r="G12" s="2">
        <v>40</v>
      </c>
      <c r="H12" s="3">
        <f t="shared" si="1"/>
        <v>38400000</v>
      </c>
      <c r="I12" s="4">
        <v>0.8</v>
      </c>
      <c r="J12" s="4">
        <f t="shared" si="2"/>
        <v>32</v>
      </c>
      <c r="K12" s="2"/>
    </row>
    <row r="13" spans="1:11" x14ac:dyDescent="0.3">
      <c r="A13" s="2" t="s">
        <v>34</v>
      </c>
      <c r="B13" s="2" t="s">
        <v>35</v>
      </c>
      <c r="C13" s="2">
        <v>550</v>
      </c>
      <c r="D13" s="2">
        <v>400</v>
      </c>
      <c r="E13" s="2">
        <v>180</v>
      </c>
      <c r="F13" s="3">
        <f t="shared" si="0"/>
        <v>39600000</v>
      </c>
      <c r="G13" s="2">
        <v>10</v>
      </c>
      <c r="H13" s="3">
        <f t="shared" si="1"/>
        <v>396000000</v>
      </c>
      <c r="I13" s="4">
        <v>6.8</v>
      </c>
      <c r="J13" s="4">
        <f t="shared" si="2"/>
        <v>68</v>
      </c>
      <c r="K13" s="2"/>
    </row>
    <row r="14" spans="1:11" x14ac:dyDescent="0.3">
      <c r="A14" s="2" t="s">
        <v>36</v>
      </c>
      <c r="B14" s="2" t="s">
        <v>37</v>
      </c>
      <c r="C14" s="2">
        <v>400</v>
      </c>
      <c r="D14" s="2">
        <v>400</v>
      </c>
      <c r="E14" s="2">
        <v>50</v>
      </c>
      <c r="F14" s="3">
        <f t="shared" si="0"/>
        <v>8000000</v>
      </c>
      <c r="G14" s="2">
        <v>16</v>
      </c>
      <c r="H14" s="3">
        <f t="shared" si="1"/>
        <v>128000000</v>
      </c>
      <c r="I14" s="4">
        <v>3.7</v>
      </c>
      <c r="J14" s="4">
        <f t="shared" si="2"/>
        <v>59.2</v>
      </c>
      <c r="K14" s="2"/>
    </row>
    <row r="15" spans="1:11" x14ac:dyDescent="0.3">
      <c r="A15" s="2" t="s">
        <v>38</v>
      </c>
      <c r="B15" s="2" t="s">
        <v>39</v>
      </c>
      <c r="C15" s="2">
        <v>650</v>
      </c>
      <c r="D15" s="2">
        <v>320</v>
      </c>
      <c r="E15" s="2">
        <v>200</v>
      </c>
      <c r="F15" s="3">
        <f t="shared" si="0"/>
        <v>41600000</v>
      </c>
      <c r="G15" s="2">
        <v>7</v>
      </c>
      <c r="H15" s="3">
        <f t="shared" si="1"/>
        <v>291200000</v>
      </c>
      <c r="I15" s="4">
        <v>6.2</v>
      </c>
      <c r="J15" s="4">
        <f t="shared" si="2"/>
        <v>43.4</v>
      </c>
      <c r="K15" s="2"/>
    </row>
    <row r="16" spans="1:11" x14ac:dyDescent="0.3">
      <c r="A16" s="2" t="s">
        <v>40</v>
      </c>
      <c r="B16" s="2" t="s">
        <v>41</v>
      </c>
      <c r="C16" s="2">
        <v>140</v>
      </c>
      <c r="D16" s="2">
        <v>100</v>
      </c>
      <c r="E16" s="2">
        <v>80</v>
      </c>
      <c r="F16" s="3">
        <f t="shared" si="0"/>
        <v>1120000</v>
      </c>
      <c r="G16" s="2">
        <v>35</v>
      </c>
      <c r="H16" s="3">
        <f t="shared" si="1"/>
        <v>39200000</v>
      </c>
      <c r="I16" s="4">
        <v>0.7</v>
      </c>
      <c r="J16" s="4">
        <f t="shared" si="2"/>
        <v>24.5</v>
      </c>
      <c r="K16" s="2"/>
    </row>
    <row r="17" spans="1:11" x14ac:dyDescent="0.3">
      <c r="A17" s="2" t="s">
        <v>42</v>
      </c>
      <c r="B17" s="2" t="s">
        <v>43</v>
      </c>
      <c r="C17" s="2">
        <v>900</v>
      </c>
      <c r="D17" s="2">
        <v>300</v>
      </c>
      <c r="E17" s="2">
        <v>100</v>
      </c>
      <c r="F17" s="3">
        <f t="shared" si="0"/>
        <v>27000000</v>
      </c>
      <c r="G17" s="2">
        <v>5</v>
      </c>
      <c r="H17" s="3">
        <f t="shared" si="1"/>
        <v>135000000</v>
      </c>
      <c r="I17" s="4">
        <v>8.1999999999999993</v>
      </c>
      <c r="J17" s="4">
        <f t="shared" si="2"/>
        <v>41</v>
      </c>
      <c r="K17" s="2"/>
    </row>
    <row r="18" spans="1:11" x14ac:dyDescent="0.3">
      <c r="A18" s="2" t="s">
        <v>44</v>
      </c>
      <c r="B18" s="2" t="s">
        <v>45</v>
      </c>
      <c r="C18" s="2">
        <v>300</v>
      </c>
      <c r="D18" s="2">
        <v>250</v>
      </c>
      <c r="E18" s="2">
        <v>180</v>
      </c>
      <c r="F18" s="3">
        <f t="shared" si="0"/>
        <v>13500000</v>
      </c>
      <c r="G18" s="2">
        <v>14</v>
      </c>
      <c r="H18" s="3">
        <f t="shared" si="1"/>
        <v>189000000</v>
      </c>
      <c r="I18" s="4">
        <v>3.9</v>
      </c>
      <c r="J18" s="4">
        <f t="shared" si="2"/>
        <v>54.6</v>
      </c>
      <c r="K18" s="2"/>
    </row>
    <row r="19" spans="1:11" x14ac:dyDescent="0.3">
      <c r="A19" s="2" t="s">
        <v>46</v>
      </c>
      <c r="B19" s="2" t="s">
        <v>47</v>
      </c>
      <c r="C19" s="2">
        <v>420</v>
      </c>
      <c r="D19" s="2">
        <v>280</v>
      </c>
      <c r="E19" s="2">
        <v>90</v>
      </c>
      <c r="F19" s="3">
        <f t="shared" si="0"/>
        <v>10584000</v>
      </c>
      <c r="G19" s="2">
        <v>20</v>
      </c>
      <c r="H19" s="3">
        <f t="shared" si="1"/>
        <v>211680000</v>
      </c>
      <c r="I19" s="4">
        <v>2.2999999999999998</v>
      </c>
      <c r="J19" s="4">
        <f t="shared" si="2"/>
        <v>46</v>
      </c>
      <c r="K19" s="2"/>
    </row>
    <row r="20" spans="1:11" x14ac:dyDescent="0.3">
      <c r="A20" s="2" t="s">
        <v>48</v>
      </c>
      <c r="B20" s="2" t="s">
        <v>49</v>
      </c>
      <c r="C20" s="2">
        <v>750</v>
      </c>
      <c r="D20" s="2">
        <v>600</v>
      </c>
      <c r="E20" s="2">
        <v>200</v>
      </c>
      <c r="F20" s="3">
        <f t="shared" si="0"/>
        <v>90000000</v>
      </c>
      <c r="G20" s="2">
        <v>3</v>
      </c>
      <c r="H20" s="3">
        <f t="shared" si="1"/>
        <v>270000000</v>
      </c>
      <c r="I20" s="4">
        <v>15</v>
      </c>
      <c r="J20" s="4">
        <f t="shared" si="2"/>
        <v>45</v>
      </c>
      <c r="K20" s="2"/>
    </row>
    <row r="21" spans="1:11" x14ac:dyDescent="0.3">
      <c r="A21" s="2" t="s">
        <v>50</v>
      </c>
      <c r="B21" s="2" t="s">
        <v>51</v>
      </c>
      <c r="C21" s="2">
        <v>1000</v>
      </c>
      <c r="D21" s="2">
        <v>250</v>
      </c>
      <c r="E21" s="2">
        <v>120</v>
      </c>
      <c r="F21" s="3">
        <f t="shared" si="0"/>
        <v>30000000</v>
      </c>
      <c r="G21" s="2">
        <v>10</v>
      </c>
      <c r="H21" s="3">
        <f t="shared" si="1"/>
        <v>300000000</v>
      </c>
      <c r="I21" s="4">
        <v>5.5</v>
      </c>
      <c r="J21" s="4">
        <f t="shared" si="2"/>
        <v>55</v>
      </c>
      <c r="K21" s="2"/>
    </row>
    <row r="22" spans="1:11" x14ac:dyDescent="0.3">
      <c r="A22" s="2" t="s">
        <v>52</v>
      </c>
      <c r="B22" s="2" t="s">
        <v>53</v>
      </c>
      <c r="C22" s="2">
        <v>380</v>
      </c>
      <c r="D22" s="2">
        <v>260</v>
      </c>
      <c r="E22" s="2">
        <v>200</v>
      </c>
      <c r="F22" s="3">
        <f t="shared" si="0"/>
        <v>19760000</v>
      </c>
      <c r="G22" s="2">
        <v>9</v>
      </c>
      <c r="H22" s="3">
        <f t="shared" si="1"/>
        <v>177840000</v>
      </c>
      <c r="I22" s="4">
        <v>4.8</v>
      </c>
      <c r="J22" s="4">
        <f t="shared" si="2"/>
        <v>43.199999999999996</v>
      </c>
      <c r="K22" s="2"/>
    </row>
    <row r="23" spans="1:11" x14ac:dyDescent="0.3">
      <c r="A23" s="2" t="s">
        <v>54</v>
      </c>
      <c r="B23" s="2" t="s">
        <v>55</v>
      </c>
      <c r="C23" s="2">
        <v>100</v>
      </c>
      <c r="D23" s="2">
        <v>80</v>
      </c>
      <c r="E23" s="2">
        <v>50</v>
      </c>
      <c r="F23" s="3">
        <f t="shared" si="0"/>
        <v>400000</v>
      </c>
      <c r="G23" s="2">
        <v>50</v>
      </c>
      <c r="H23" s="3">
        <f t="shared" si="1"/>
        <v>20000000</v>
      </c>
      <c r="I23" s="4">
        <v>0.35</v>
      </c>
      <c r="J23" s="4">
        <f t="shared" si="2"/>
        <v>17.5</v>
      </c>
      <c r="K23" s="2"/>
    </row>
    <row r="24" spans="1:11" x14ac:dyDescent="0.3">
      <c r="A24" s="2" t="s">
        <v>56</v>
      </c>
      <c r="B24" s="2" t="s">
        <v>57</v>
      </c>
      <c r="C24" s="2">
        <v>480</v>
      </c>
      <c r="D24" s="2">
        <v>360</v>
      </c>
      <c r="E24" s="2">
        <v>300</v>
      </c>
      <c r="F24" s="3">
        <f t="shared" si="0"/>
        <v>51840000</v>
      </c>
      <c r="G24" s="2">
        <v>6</v>
      </c>
      <c r="H24" s="3">
        <f t="shared" si="1"/>
        <v>311040000</v>
      </c>
      <c r="I24" s="4">
        <v>8.4</v>
      </c>
      <c r="J24" s="4">
        <f t="shared" si="2"/>
        <v>50.400000000000006</v>
      </c>
      <c r="K24" s="2"/>
    </row>
    <row r="25" spans="1:11" x14ac:dyDescent="0.3">
      <c r="A25" s="2" t="s">
        <v>58</v>
      </c>
      <c r="B25" s="2" t="s">
        <v>59</v>
      </c>
      <c r="C25" s="2">
        <v>550</v>
      </c>
      <c r="D25" s="2">
        <v>450</v>
      </c>
      <c r="E25" s="2">
        <v>120</v>
      </c>
      <c r="F25" s="3">
        <f t="shared" si="0"/>
        <v>29700000</v>
      </c>
      <c r="G25" s="2">
        <v>8</v>
      </c>
      <c r="H25" s="3">
        <f t="shared" si="1"/>
        <v>237600000</v>
      </c>
      <c r="I25" s="4">
        <v>6</v>
      </c>
      <c r="J25" s="4">
        <f t="shared" si="2"/>
        <v>48</v>
      </c>
      <c r="K25" s="2"/>
    </row>
    <row r="26" spans="1:11" x14ac:dyDescent="0.3">
      <c r="A26" s="2" t="s">
        <v>60</v>
      </c>
      <c r="B26" s="2" t="s">
        <v>61</v>
      </c>
      <c r="C26" s="2">
        <v>1200</v>
      </c>
      <c r="D26" s="2">
        <v>150</v>
      </c>
      <c r="E26" s="2">
        <v>100</v>
      </c>
      <c r="F26" s="3">
        <f t="shared" si="0"/>
        <v>18000000</v>
      </c>
      <c r="G26" s="2">
        <v>7</v>
      </c>
      <c r="H26" s="3">
        <f t="shared" si="1"/>
        <v>126000000</v>
      </c>
      <c r="I26" s="4">
        <v>4.5</v>
      </c>
      <c r="J26" s="4">
        <f t="shared" si="2"/>
        <v>31.5</v>
      </c>
      <c r="K26" s="2"/>
    </row>
    <row r="27" spans="1:11" x14ac:dyDescent="0.3">
      <c r="A27" s="2" t="s">
        <v>62</v>
      </c>
      <c r="B27" s="2" t="s">
        <v>63</v>
      </c>
      <c r="C27" s="2">
        <v>320</v>
      </c>
      <c r="D27" s="2">
        <v>240</v>
      </c>
      <c r="E27" s="2">
        <v>220</v>
      </c>
      <c r="F27" s="3">
        <f t="shared" si="0"/>
        <v>16896000</v>
      </c>
      <c r="G27" s="2">
        <v>12</v>
      </c>
      <c r="H27" s="3">
        <f t="shared" si="1"/>
        <v>202752000</v>
      </c>
      <c r="I27" s="4">
        <v>5.0999999999999996</v>
      </c>
      <c r="J27" s="4">
        <f t="shared" si="2"/>
        <v>61.199999999999996</v>
      </c>
      <c r="K27" s="2"/>
    </row>
    <row r="28" spans="1:11" x14ac:dyDescent="0.3">
      <c r="A28" s="2" t="s">
        <v>64</v>
      </c>
      <c r="B28" s="2" t="s">
        <v>65</v>
      </c>
      <c r="C28" s="2">
        <v>450</v>
      </c>
      <c r="D28" s="2">
        <v>180</v>
      </c>
      <c r="E28" s="2">
        <v>100</v>
      </c>
      <c r="F28" s="3">
        <f t="shared" si="0"/>
        <v>8100000</v>
      </c>
      <c r="G28" s="2">
        <v>20</v>
      </c>
      <c r="H28" s="3">
        <f t="shared" si="1"/>
        <v>162000000</v>
      </c>
      <c r="I28" s="4">
        <v>2</v>
      </c>
      <c r="J28" s="4">
        <f t="shared" si="2"/>
        <v>40</v>
      </c>
      <c r="K28" s="2"/>
    </row>
    <row r="29" spans="1:11" x14ac:dyDescent="0.3">
      <c r="A29" s="2" t="s">
        <v>66</v>
      </c>
      <c r="B29" s="2" t="s">
        <v>67</v>
      </c>
      <c r="C29" s="2">
        <v>700</v>
      </c>
      <c r="D29" s="2">
        <v>500</v>
      </c>
      <c r="E29" s="2">
        <v>180</v>
      </c>
      <c r="F29" s="3">
        <f t="shared" si="0"/>
        <v>63000000</v>
      </c>
      <c r="G29" s="2">
        <v>5</v>
      </c>
      <c r="H29" s="3">
        <f t="shared" si="1"/>
        <v>315000000</v>
      </c>
      <c r="I29" s="4">
        <v>9.8000000000000007</v>
      </c>
      <c r="J29" s="4">
        <f t="shared" si="2"/>
        <v>49</v>
      </c>
      <c r="K29" s="2"/>
    </row>
    <row r="30" spans="1:11" x14ac:dyDescent="0.3">
      <c r="A30" s="2" t="s">
        <v>68</v>
      </c>
      <c r="B30" s="2" t="s">
        <v>69</v>
      </c>
      <c r="C30" s="2">
        <v>200</v>
      </c>
      <c r="D30" s="2">
        <v>120</v>
      </c>
      <c r="E30" s="2">
        <v>70</v>
      </c>
      <c r="F30" s="3">
        <f t="shared" si="0"/>
        <v>1680000</v>
      </c>
      <c r="G30" s="2">
        <v>30</v>
      </c>
      <c r="H30" s="3">
        <f t="shared" si="1"/>
        <v>50400000</v>
      </c>
      <c r="I30" s="4">
        <v>1</v>
      </c>
      <c r="J30" s="4">
        <f t="shared" si="2"/>
        <v>30</v>
      </c>
      <c r="K30" s="2"/>
    </row>
    <row r="31" spans="1:11" x14ac:dyDescent="0.3">
      <c r="A31" s="2" t="s">
        <v>70</v>
      </c>
      <c r="B31" s="2" t="s">
        <v>71</v>
      </c>
      <c r="C31" s="2">
        <v>1000</v>
      </c>
      <c r="D31" s="2">
        <v>700</v>
      </c>
      <c r="E31" s="2">
        <v>250</v>
      </c>
      <c r="F31" s="3">
        <f t="shared" si="0"/>
        <v>175000000</v>
      </c>
      <c r="G31" s="2">
        <v>2</v>
      </c>
      <c r="H31" s="3">
        <f t="shared" si="1"/>
        <v>350000000</v>
      </c>
      <c r="I31" s="4">
        <v>22</v>
      </c>
      <c r="J31" s="4">
        <f t="shared" si="2"/>
        <v>44</v>
      </c>
      <c r="K31" s="2"/>
    </row>
    <row r="33" spans="1:12" x14ac:dyDescent="0.3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</sheetData>
  <mergeCells count="1">
    <mergeCell ref="B33:L33"/>
  </mergeCells>
  <conditionalFormatting sqref="G2:G31">
    <cfRule type="cellIs" priority="1" operator="greater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18" customWidth="1"/>
    <col min="4" max="4" width="19" customWidth="1"/>
    <col min="5" max="5" width="18" customWidth="1"/>
    <col min="6" max="6" width="23" customWidth="1"/>
    <col min="7" max="7" width="18" customWidth="1"/>
    <col min="8" max="8" width="16" customWidth="1"/>
    <col min="9" max="9" width="14" customWidth="1"/>
  </cols>
  <sheetData>
    <row r="1" spans="1:9" x14ac:dyDescent="0.3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</row>
    <row r="2" spans="1:9" x14ac:dyDescent="0.3">
      <c r="A2" s="2" t="s">
        <v>81</v>
      </c>
      <c r="B2" s="2" t="s">
        <v>82</v>
      </c>
      <c r="C2" s="2">
        <v>400</v>
      </c>
      <c r="D2" s="2">
        <v>300</v>
      </c>
      <c r="E2" s="2">
        <v>250</v>
      </c>
      <c r="F2" s="3">
        <f t="shared" ref="F2:F11" si="0">C2*D2*E2</f>
        <v>30000000</v>
      </c>
      <c r="G2" s="4">
        <v>100</v>
      </c>
      <c r="H2" s="2" t="s">
        <v>83</v>
      </c>
      <c r="I2" s="2" t="s">
        <v>84</v>
      </c>
    </row>
    <row r="3" spans="1:9" x14ac:dyDescent="0.3">
      <c r="A3" s="2" t="s">
        <v>85</v>
      </c>
      <c r="B3" s="2" t="s">
        <v>82</v>
      </c>
      <c r="C3" s="2">
        <v>500</v>
      </c>
      <c r="D3" s="2">
        <v>350</v>
      </c>
      <c r="E3" s="2">
        <v>300</v>
      </c>
      <c r="F3" s="3">
        <f t="shared" si="0"/>
        <v>52500000</v>
      </c>
      <c r="G3" s="4">
        <v>150</v>
      </c>
      <c r="H3" s="2" t="s">
        <v>86</v>
      </c>
      <c r="I3" s="2" t="s">
        <v>84</v>
      </c>
    </row>
    <row r="4" spans="1:9" x14ac:dyDescent="0.3">
      <c r="A4" s="2" t="s">
        <v>87</v>
      </c>
      <c r="B4" s="2" t="s">
        <v>88</v>
      </c>
      <c r="C4" s="2">
        <v>700</v>
      </c>
      <c r="D4" s="2">
        <v>500</v>
      </c>
      <c r="E4" s="2">
        <v>400</v>
      </c>
      <c r="F4" s="3">
        <f t="shared" si="0"/>
        <v>140000000</v>
      </c>
      <c r="G4" s="4">
        <v>300</v>
      </c>
      <c r="H4" s="2" t="s">
        <v>89</v>
      </c>
      <c r="I4" s="2" t="s">
        <v>84</v>
      </c>
    </row>
    <row r="5" spans="1:9" x14ac:dyDescent="0.3">
      <c r="A5" s="2" t="s">
        <v>90</v>
      </c>
      <c r="B5" s="2" t="s">
        <v>88</v>
      </c>
      <c r="C5" s="2">
        <v>800</v>
      </c>
      <c r="D5" s="2">
        <v>600</v>
      </c>
      <c r="E5" s="2">
        <v>450</v>
      </c>
      <c r="F5" s="3">
        <f t="shared" si="0"/>
        <v>216000000</v>
      </c>
      <c r="G5" s="4">
        <v>400</v>
      </c>
      <c r="H5" s="2" t="s">
        <v>91</v>
      </c>
      <c r="I5" s="2" t="s">
        <v>84</v>
      </c>
    </row>
    <row r="6" spans="1:9" x14ac:dyDescent="0.3">
      <c r="A6" s="2" t="s">
        <v>92</v>
      </c>
      <c r="B6" s="2" t="s">
        <v>93</v>
      </c>
      <c r="C6" s="2">
        <v>1000</v>
      </c>
      <c r="D6" s="2">
        <v>700</v>
      </c>
      <c r="E6" s="2">
        <v>600</v>
      </c>
      <c r="F6" s="3">
        <f t="shared" si="0"/>
        <v>420000000</v>
      </c>
      <c r="G6" s="4">
        <v>700</v>
      </c>
      <c r="H6" s="2" t="s">
        <v>94</v>
      </c>
      <c r="I6" s="2" t="s">
        <v>84</v>
      </c>
    </row>
    <row r="7" spans="1:9" x14ac:dyDescent="0.3">
      <c r="A7" s="2" t="s">
        <v>95</v>
      </c>
      <c r="B7" s="2" t="s">
        <v>93</v>
      </c>
      <c r="C7" s="2">
        <v>1200</v>
      </c>
      <c r="D7" s="2">
        <v>800</v>
      </c>
      <c r="E7" s="2">
        <v>700</v>
      </c>
      <c r="F7" s="3">
        <f t="shared" si="0"/>
        <v>672000000</v>
      </c>
      <c r="G7" s="4">
        <v>1000</v>
      </c>
      <c r="H7" s="2" t="s">
        <v>96</v>
      </c>
      <c r="I7" s="2" t="s">
        <v>84</v>
      </c>
    </row>
    <row r="8" spans="1:9" x14ac:dyDescent="0.3">
      <c r="A8" s="2" t="s">
        <v>97</v>
      </c>
      <c r="B8" s="2" t="s">
        <v>98</v>
      </c>
      <c r="C8" s="2">
        <v>1500</v>
      </c>
      <c r="D8" s="2">
        <v>1000</v>
      </c>
      <c r="E8" s="2">
        <v>800</v>
      </c>
      <c r="F8" s="3">
        <f t="shared" si="0"/>
        <v>1200000000</v>
      </c>
      <c r="G8" s="4">
        <v>1800</v>
      </c>
      <c r="H8" s="2" t="s">
        <v>99</v>
      </c>
      <c r="I8" s="2" t="s">
        <v>84</v>
      </c>
    </row>
    <row r="9" spans="1:9" x14ac:dyDescent="0.3">
      <c r="A9" s="2" t="s">
        <v>100</v>
      </c>
      <c r="B9" s="2" t="s">
        <v>98</v>
      </c>
      <c r="C9" s="2">
        <v>1800</v>
      </c>
      <c r="D9" s="2">
        <v>1200</v>
      </c>
      <c r="E9" s="2">
        <v>1000</v>
      </c>
      <c r="F9" s="3">
        <f t="shared" si="0"/>
        <v>2160000000</v>
      </c>
      <c r="G9" s="4">
        <v>2500</v>
      </c>
      <c r="H9" s="2" t="s">
        <v>101</v>
      </c>
      <c r="I9" s="2" t="s">
        <v>84</v>
      </c>
    </row>
    <row r="10" spans="1:9" x14ac:dyDescent="0.3">
      <c r="A10" s="2" t="s">
        <v>102</v>
      </c>
      <c r="B10" s="2" t="s">
        <v>103</v>
      </c>
      <c r="C10" s="2">
        <v>1400</v>
      </c>
      <c r="D10" s="2">
        <v>500</v>
      </c>
      <c r="E10" s="2">
        <v>500</v>
      </c>
      <c r="F10" s="3">
        <f t="shared" si="0"/>
        <v>350000000</v>
      </c>
      <c r="G10" s="4">
        <v>900</v>
      </c>
      <c r="H10" s="2" t="s">
        <v>104</v>
      </c>
      <c r="I10" s="2" t="s">
        <v>84</v>
      </c>
    </row>
    <row r="11" spans="1:9" x14ac:dyDescent="0.3">
      <c r="A11" s="2" t="s">
        <v>105</v>
      </c>
      <c r="B11" s="2" t="s">
        <v>103</v>
      </c>
      <c r="C11" s="2">
        <v>1600</v>
      </c>
      <c r="D11" s="2">
        <v>600</v>
      </c>
      <c r="E11" s="2">
        <v>600</v>
      </c>
      <c r="F11" s="3">
        <f t="shared" si="0"/>
        <v>576000000</v>
      </c>
      <c r="G11" s="4">
        <v>1200</v>
      </c>
      <c r="H11" s="2" t="s">
        <v>106</v>
      </c>
      <c r="I11" s="2" t="s">
        <v>84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40" customWidth="1"/>
    <col min="3" max="3" width="90" customWidth="1"/>
  </cols>
  <sheetData>
    <row r="1" spans="1:3" x14ac:dyDescent="0.3">
      <c r="A1" s="1" t="s">
        <v>107</v>
      </c>
      <c r="B1" s="1" t="s">
        <v>108</v>
      </c>
      <c r="C1" s="1" t="s">
        <v>109</v>
      </c>
    </row>
    <row r="2" spans="1:3" x14ac:dyDescent="0.3">
      <c r="A2" s="2" t="s">
        <v>110</v>
      </c>
      <c r="B2" s="2" t="s">
        <v>111</v>
      </c>
      <c r="C2" s="2" t="s">
        <v>112</v>
      </c>
    </row>
    <row r="3" spans="1:3" x14ac:dyDescent="0.3">
      <c r="A3" s="2" t="s">
        <v>113</v>
      </c>
      <c r="B3" s="2" t="s">
        <v>114</v>
      </c>
      <c r="C3" s="2" t="s">
        <v>115</v>
      </c>
    </row>
    <row r="4" spans="1:3" x14ac:dyDescent="0.3">
      <c r="A4" s="2" t="s">
        <v>116</v>
      </c>
      <c r="B4" s="2" t="s">
        <v>117</v>
      </c>
      <c r="C4" s="2" t="s">
        <v>118</v>
      </c>
    </row>
    <row r="5" spans="1:3" x14ac:dyDescent="0.3">
      <c r="A5" s="2" t="s">
        <v>119</v>
      </c>
      <c r="B5" s="2" t="s">
        <v>120</v>
      </c>
      <c r="C5" s="2" t="s">
        <v>121</v>
      </c>
    </row>
    <row r="6" spans="1:3" x14ac:dyDescent="0.3">
      <c r="A6" s="2" t="s">
        <v>10</v>
      </c>
      <c r="B6" s="2" t="s">
        <v>122</v>
      </c>
      <c r="C6" s="2" t="s">
        <v>123</v>
      </c>
    </row>
    <row r="7" spans="1:3" x14ac:dyDescent="0.3">
      <c r="A7" s="2" t="s">
        <v>124</v>
      </c>
      <c r="B7" s="2" t="s">
        <v>125</v>
      </c>
      <c r="C7" s="2" t="s">
        <v>126</v>
      </c>
    </row>
    <row r="8" spans="1:3" x14ac:dyDescent="0.3">
      <c r="A8" s="2" t="s">
        <v>11</v>
      </c>
      <c r="B8" s="2" t="s">
        <v>127</v>
      </c>
      <c r="C8" s="2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Requirements</vt:lpstr>
      <vt:lpstr>Master</vt:lpstr>
      <vt:lpstr>Logic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Kishore Kanna</cp:lastModifiedBy>
  <dcterms:created xsi:type="dcterms:W3CDTF">2026-08-11T03:56:58Z</dcterms:created>
  <dcterms:modified xsi:type="dcterms:W3CDTF">2026-08-11T04:03:51Z</dcterms:modified>
</cp:coreProperties>
</file>